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 New\Desktop\portfolio-financial-analyst\02-stats\"/>
    </mc:Choice>
  </mc:AlternateContent>
  <xr:revisionPtr revIDLastSave="0" documentId="13_ncr:1_{C3420111-2BCD-477B-9CB7-D8F5157E529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 par pays" sheetId="1" r:id="rId1"/>
    <sheet name="Tendance CA par pays" sheetId="2" r:id="rId2"/>
    <sheet name="Volatilite par categorie" sheetId="3" r:id="rId3"/>
    <sheet name="Ventes suspectes" sheetId="4" r:id="rId4"/>
    <sheet name="Correlation sectorielle prix" sheetId="5" r:id="rId5"/>
    <sheet name="Correlation sectorielle qte" sheetId="6" r:id="rId6"/>
  </sheets>
  <calcPr calcId="124519"/>
</workbook>
</file>

<file path=xl/sharedStrings.xml><?xml version="1.0" encoding="utf-8"?>
<sst xmlns="http://schemas.openxmlformats.org/spreadsheetml/2006/main" count="193" uniqueCount="53">
  <si>
    <t>ca</t>
  </si>
  <si>
    <t>pays</t>
  </si>
  <si>
    <t>Benin</t>
  </si>
  <si>
    <t>Cote d'Ivoire</t>
  </si>
  <si>
    <t>Ghana</t>
  </si>
  <si>
    <t>Senegal</t>
  </si>
  <si>
    <t>Togo</t>
  </si>
  <si>
    <t>mean</t>
  </si>
  <si>
    <t>median</t>
  </si>
  <si>
    <t>ecart_pct</t>
  </si>
  <si>
    <t>categorie</t>
  </si>
  <si>
    <t>Informatique</t>
  </si>
  <si>
    <t>Telephonie</t>
  </si>
  <si>
    <t>Audio</t>
  </si>
  <si>
    <t>Accessoires</t>
  </si>
  <si>
    <t>id_vente</t>
  </si>
  <si>
    <t>date_vente</t>
  </si>
  <si>
    <t>produit_id</t>
  </si>
  <si>
    <t>quantite</t>
  </si>
  <si>
    <t>prix_unitaire</t>
  </si>
  <si>
    <t>remise_pct</t>
  </si>
  <si>
    <t>mois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</si>
  <si>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</si>
  <si>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</si>
  <si>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</si>
  <si>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</si>
  <si>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</si>
  <si>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</si>
  <si>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</si>
  <si>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</si>
  <si>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</si>
  <si>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</si>
  <si>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</si>
  <si>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</si>
  <si>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</si>
  <si>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</si>
  <si>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</si>
  <si>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</si>
  <si>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</si>
  <si>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</si>
  <si>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</si>
  <si>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</si>
  <si>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</si>
  <si>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</si>
  <si>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</si>
  <si>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</si>
  <si>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CHIFFRE D'AFFAIRES PAR PAYS</t>
  </si>
  <si>
    <t>TENDANCE DU CHIFFRE D'AFFAIRES PAR PAYS</t>
  </si>
  <si>
    <t>VENTES SUSPECTES</t>
  </si>
  <si>
    <t>corr.</t>
  </si>
  <si>
    <t>CORRELATION SECTORIELLE DES PRIX</t>
  </si>
  <si>
    <t>CORRELATION SECTORIELLE DES QTE</t>
  </si>
  <si>
    <t>VOLATILITE PAR CATEGORIE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</si>
</sst>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yyyy\-mm\-dd\ hh:mm:ss"/>
    <numFmt numFmtId="165" formatCode="_-* #,##0.0_-;\-* #,##0.0_-;_-* &quot;-&quot;_-;_-@_-"/>
    <numFmt numFmtId="166" formatCode="_-* #,##0.00_-;\-* #,##0.0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sz val="12"/>
      <color theme="0"/>
      <name val="Century Gothic"/>
      <family val="2"/>
    </font>
    <font>
      <b/>
      <sz val="14"/>
      <color theme="0"/>
      <name val="Century Gothic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4" fillId="2" borderId="0" xfId="0" applyFont="1" applyFill="1" applyAlignment="1">
      <alignment horizontal="centerContinuous" vertical="center"/>
    </xf>
    <xf numFmtId="41" fontId="2" fillId="0" borderId="0" xfId="1" applyFont="1"/>
    <xf numFmtId="41" fontId="2" fillId="0" borderId="0" xfId="1" applyFont="1" applyAlignment="1">
      <alignment horizontal="center" vertical="center"/>
    </xf>
    <xf numFmtId="41" fontId="3" fillId="2" borderId="0" xfId="1" applyFont="1" applyFill="1" applyAlignment="1">
      <alignment horizontal="centerContinuous"/>
    </xf>
    <xf numFmtId="165" fontId="2" fillId="0" borderId="0" xfId="1" applyNumberFormat="1" applyFont="1"/>
    <xf numFmtId="166" fontId="2" fillId="0" borderId="0" xfId="1" applyNumberFormat="1" applyFont="1"/>
    <xf numFmtId="41" fontId="3" fillId="0" borderId="0" xfId="1" applyFont="1" applyFill="1" applyAlignment="1">
      <alignment horizontal="center"/>
    </xf>
    <xf numFmtId="164" fontId="2" fillId="0" borderId="0" xfId="0" applyNumberFormat="1" applyFont="1"/>
    <xf numFmtId="0" fontId="2" fillId="0" borderId="0" xfId="0" applyFont="1" applyAlignment="1">
      <alignment horizontal="center" vertical="center"/>
    </xf>
    <xf numFmtId="41" fontId="2" fillId="2" borderId="0" xfId="1" applyFont="1" applyFill="1" applyAlignment="1">
      <alignment horizontal="centerContinuous"/>
    </xf>
    <xf numFmtId="41" fontId="5" fillId="0" borderId="0" xfId="1" applyFont="1" applyAlignment="1">
      <alignment horizontal="left" vertical="top"/>
    </xf>
    <xf numFmtId="0" fontId="5" fillId="0" borderId="0" xfId="0" applyFont="1" applyAlignment="1">
      <alignment vertical="top"/>
    </xf>
  </cellXfs>
  <cellStyles count="2">
    <cellStyle name="Milliers [0]" xfId="1" builtinId="6"/>
    <cellStyle name="Normal" xfId="0" builtinId="0"/>
  </cellStyles>
  <dxfs count="3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165" formatCode="_-* #,##0.0_-;\-* #,##0.0_-;_-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165" formatCode="_-* #,##0.0_-;\-* #,##0.0_-;_-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164" formatCode="yyyy\-mm\-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numFmt numFmtId="166" formatCode="_-* #,##0.00_-;\-* #,##0.00_-;_-* &quot;-&quot;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entury Gothic"/>
        <family val="2"/>
        <scheme val="none"/>
      </font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en-US" sz="1200"/>
              <a:t> Chiffre</a:t>
            </a:r>
            <a:r>
              <a:rPr lang="en-US" sz="1200" baseline="0"/>
              <a:t> d'Affaires / Pays</a:t>
            </a:r>
            <a:r>
              <a:rPr lang="en-US" sz="1200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fr-BJ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'CA par pays'!$B$3</c:f>
              <c:strCache>
                <c:ptCount val="1"/>
                <c:pt idx="0">
                  <c:v> ca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fr-BJ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 par pays'!$A$4:$A$8</c:f>
              <c:strCache>
                <c:ptCount val="5"/>
                <c:pt idx="0">
                  <c:v> Benin </c:v>
                </c:pt>
                <c:pt idx="1">
                  <c:v> Cote d'Ivoire </c:v>
                </c:pt>
                <c:pt idx="2">
                  <c:v> Ghana </c:v>
                </c:pt>
                <c:pt idx="3">
                  <c:v> Senegal </c:v>
                </c:pt>
                <c:pt idx="4">
                  <c:v> Togo </c:v>
                </c:pt>
              </c:strCache>
            </c:strRef>
          </c:cat>
          <c:val>
            <c:numRef>
              <c:f>'CA par pays'!$B$4:$B$8</c:f>
              <c:numCache>
                <c:formatCode>_(* #,##0_);_(* \(#,##0\);_(* "-"_);_(@_)</c:formatCode>
                <c:ptCount val="5"/>
                <c:pt idx="0">
                  <c:v>173838740.59999999</c:v>
                </c:pt>
                <c:pt idx="1">
                  <c:v>180662017.94999999</c:v>
                </c:pt>
                <c:pt idx="2">
                  <c:v>162010516.34999999</c:v>
                </c:pt>
                <c:pt idx="3">
                  <c:v>146930324.40000001</c:v>
                </c:pt>
                <c:pt idx="4">
                  <c:v>159111083.84999999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DC-4BD7-A082-05FB75D4812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221801135"/>
        <c:axId val="1221802095"/>
      </c:barChart>
      <c:catAx>
        <c:axId val="12218011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fr-BJ"/>
          </a:p>
        </c:txPr>
        <c:crossAx val="1221802095"/>
        <c:crosses val="autoZero"/>
        <c:auto val="1"/>
        <c:lblAlgn val="ctr"/>
        <c:lblOffset val="100"/>
        <c:noMultiLvlLbl val="0"/>
      </c:catAx>
      <c:valAx>
        <c:axId val="1221802095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crossAx val="1221801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entury Gothic" panose="020B0502020202020204" pitchFamily="34" charset="0"/>
        </a:defRPr>
      </a:pPr>
      <a:endParaRPr lang="fr-BJ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fr-FR" sz="1200"/>
              <a:t>Tendance CA / Pays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fr-BJ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'Tendance CA par pays'!$B$3</c:f>
              <c:strCache>
                <c:ptCount val="1"/>
                <c:pt idx="0">
                  <c:v> mean 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strRef>
              <c:f>'Tendance CA par pays'!$A$4:$A$8</c:f>
              <c:strCache>
                <c:ptCount val="5"/>
                <c:pt idx="0">
                  <c:v> Benin </c:v>
                </c:pt>
                <c:pt idx="1">
                  <c:v> Cote d'Ivoire </c:v>
                </c:pt>
                <c:pt idx="2">
                  <c:v> Ghana </c:v>
                </c:pt>
                <c:pt idx="3">
                  <c:v> Senegal </c:v>
                </c:pt>
                <c:pt idx="4">
                  <c:v> Togo </c:v>
                </c:pt>
              </c:strCache>
            </c:strRef>
          </c:xVal>
          <c:yVal>
            <c:numRef>
              <c:f>'Tendance CA par pays'!$B$4:$B$8</c:f>
              <c:numCache>
                <c:formatCode>_(* #,##0_);_(* \(#,##0\);_(* "-"_);_(@_)</c:formatCode>
                <c:ptCount val="5"/>
                <c:pt idx="0">
                  <c:v>1004848.211560694</c:v>
                </c:pt>
                <c:pt idx="1">
                  <c:v>1088325.409337349</c:v>
                </c:pt>
                <c:pt idx="2">
                  <c:v>958642.10857988161</c:v>
                </c:pt>
                <c:pt idx="3">
                  <c:v>986109.55973154365</c:v>
                </c:pt>
                <c:pt idx="4">
                  <c:v>1067859.623154362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FDD-4032-9B6D-568D4D071570}"/>
            </c:ext>
          </c:extLst>
        </c:ser>
        <c:ser>
          <c:idx val="1"/>
          <c:order val="1"/>
          <c:tx>
            <c:strRef>
              <c:f>'Tendance CA par pays'!$C$3</c:f>
              <c:strCache>
                <c:ptCount val="1"/>
                <c:pt idx="0">
                  <c:v> median </c:v>
                </c:pt>
              </c:strCache>
            </c:strRef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xVal>
            <c:strRef>
              <c:f>'Tendance CA par pays'!$A$4:$A$8</c:f>
              <c:strCache>
                <c:ptCount val="5"/>
                <c:pt idx="0">
                  <c:v> Benin </c:v>
                </c:pt>
                <c:pt idx="1">
                  <c:v> Cote d'Ivoire </c:v>
                </c:pt>
                <c:pt idx="2">
                  <c:v> Ghana </c:v>
                </c:pt>
                <c:pt idx="3">
                  <c:v> Senegal </c:v>
                </c:pt>
                <c:pt idx="4">
                  <c:v> Togo </c:v>
                </c:pt>
              </c:strCache>
            </c:strRef>
          </c:xVal>
          <c:yVal>
            <c:numRef>
              <c:f>'Tendance CA par pays'!$C$4:$C$8</c:f>
              <c:numCache>
                <c:formatCode>_(* #,##0_);_(* \(#,##0\);_(* "-"_);_(@_)</c:formatCode>
                <c:ptCount val="5"/>
                <c:pt idx="0">
                  <c:v>387264</c:v>
                </c:pt>
                <c:pt idx="1">
                  <c:v>401780.65</c:v>
                </c:pt>
                <c:pt idx="2">
                  <c:v>386739.9</c:v>
                </c:pt>
                <c:pt idx="3">
                  <c:v>385588</c:v>
                </c:pt>
                <c:pt idx="4">
                  <c:v>517625.35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FDD-4032-9B6D-568D4D0715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3948543"/>
        <c:axId val="1493956223"/>
      </c:scatterChart>
      <c:valAx>
        <c:axId val="1493948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fr-BJ"/>
          </a:p>
        </c:txPr>
        <c:crossAx val="1493956223"/>
        <c:crosses val="autoZero"/>
        <c:crossBetween val="midCat"/>
      </c:valAx>
      <c:valAx>
        <c:axId val="149395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fr-BJ"/>
          </a:p>
        </c:txPr>
        <c:crossAx val="14939485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fr-BJ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entury Gothic" panose="020B0502020202020204" pitchFamily="34" charset="0"/>
        </a:defRPr>
      </a:pPr>
      <a:endParaRPr lang="fr-BJ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r>
              <a:rPr lang="en-US" sz="1200"/>
              <a:t>Chiffre d'Affaires / Catégorie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20204" pitchFamily="34" charset="0"/>
              <a:ea typeface="+mn-ea"/>
              <a:cs typeface="+mn-cs"/>
            </a:defRPr>
          </a:pPr>
          <a:endParaRPr lang="fr-BJ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'Volatilite par categorie'!$B$3</c:f>
              <c:strCache>
                <c:ptCount val="1"/>
                <c:pt idx="0">
                  <c:v> ca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entury Gothic" panose="020B0502020202020204" pitchFamily="34" charset="0"/>
                    <a:ea typeface="+mn-ea"/>
                    <a:cs typeface="+mn-cs"/>
                  </a:defRPr>
                </a:pPr>
                <a:endParaRPr lang="fr-BJ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'Volatilite par categorie'!$A$4:$A$7</c:f>
              <c:strCache>
                <c:ptCount val="4"/>
                <c:pt idx="0">
                  <c:v> Informatique </c:v>
                </c:pt>
                <c:pt idx="1">
                  <c:v> Telephonie </c:v>
                </c:pt>
                <c:pt idx="2">
                  <c:v> Audio </c:v>
                </c:pt>
                <c:pt idx="3">
                  <c:v> Accessoires </c:v>
                </c:pt>
              </c:strCache>
            </c:strRef>
          </c:cat>
          <c:val>
            <c:numRef>
              <c:f>'Volatilite par categorie'!$B$4:$B$7</c:f>
              <c:numCache>
                <c:formatCode>_(* #,##0_);_(* \(#,##0\);_(* "-"_);_(@_)</c:formatCode>
                <c:ptCount val="4"/>
                <c:pt idx="0">
                  <c:v>1910921.291477083</c:v>
                </c:pt>
                <c:pt idx="1">
                  <c:v>1291282.097803524</c:v>
                </c:pt>
                <c:pt idx="2">
                  <c:v>193724.53914662221</c:v>
                </c:pt>
                <c:pt idx="3">
                  <c:v>74974.563379038882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D3-4464-9D08-018B0A9B86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93957663"/>
        <c:axId val="1493955743"/>
      </c:barChart>
      <c:catAx>
        <c:axId val="14939576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20204" pitchFamily="34" charset="0"/>
                <a:ea typeface="+mn-ea"/>
                <a:cs typeface="+mn-cs"/>
              </a:defRPr>
            </a:pPr>
            <a:endParaRPr lang="fr-BJ"/>
          </a:p>
        </c:txPr>
        <c:crossAx val="1493955743"/>
        <c:crosses val="autoZero"/>
        <c:auto val="1"/>
        <c:lblAlgn val="ctr"/>
        <c:lblOffset val="100"/>
        <c:noMultiLvlLbl val="0"/>
      </c:catAx>
      <c:valAx>
        <c:axId val="149395574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crossAx val="1493957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entury Gothic" panose="020B0502020202020204" pitchFamily="34" charset="0"/>
        </a:defRPr>
      </a:pPr>
      <a:endParaRPr lang="fr-BJ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2</xdr:row>
      <xdr:rowOff>4762</xdr:rowOff>
    </xdr:from>
    <xdr:to>
      <xdr:col>12</xdr:col>
      <xdr:colOff>571500</xdr:colOff>
      <xdr:row>15</xdr:row>
      <xdr:rowOff>190500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5113CF3-C8BA-8FF5-D42A-ED5AB8B866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596900</xdr:colOff>
      <xdr:row>2</xdr:row>
      <xdr:rowOff>6350</xdr:rowOff>
    </xdr:from>
    <xdr:to>
      <xdr:col>13</xdr:col>
      <xdr:colOff>366712</xdr:colOff>
      <xdr:row>16</xdr:row>
      <xdr:rowOff>68263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EBBBF059-33CF-C4CC-0129-AB46C2A6EF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19049</xdr:colOff>
      <xdr:row>2</xdr:row>
      <xdr:rowOff>14286</xdr:rowOff>
    </xdr:from>
    <xdr:to>
      <xdr:col>13</xdr:col>
      <xdr:colOff>590550</xdr:colOff>
      <xdr:row>16</xdr:row>
      <xdr:rowOff>219074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12F6B1D-BA5D-EF77-1C97-E77145F03C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7E7A16-A12E-4FD7-A577-FAD2B2D0587A}" name="Tableau1" displayName="Tableau1" ref="A3:B8" totalsRowShown="0" headerRowDxfId="31" dataDxfId="30" headerRowCellStyle="Milliers [0]" dataCellStyle="Milliers [0]">
  <autoFilter ref="A3:B8" xr:uid="{377E7A16-A12E-4FD7-A577-FAD2B2D0587A}">
    <filterColumn colId="0" hiddenButton="1"/>
    <filterColumn colId="1" hiddenButton="1"/>
  </autoFilter>
  <tableColumns count="2">
    <tableColumn id="1" xr3:uid="{E833792B-EE25-4296-95C4-B0114E5FAE4B}" name="pays" dataDxfId="29" dataCellStyle="Milliers [0]"/>
    <tableColumn id="2" xr3:uid="{D2ACB498-FFBD-4193-BB16-D4BEB6958D1F}" name="ca" dataDxfId="28" dataCellStyle="Milliers [0]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75EC4CA-621B-435F-A4FD-F2F148D31ABA}" name="Tableau2" displayName="Tableau2" ref="A3:D8" totalsRowShown="0" headerRowDxfId="27" dataDxfId="26" headerRowCellStyle="Milliers [0]" dataCellStyle="Milliers [0]">
  <autoFilter ref="A3:D8" xr:uid="{E75EC4CA-621B-435F-A4FD-F2F148D31ABA}">
    <filterColumn colId="0" hiddenButton="1"/>
    <filterColumn colId="1" hiddenButton="1"/>
    <filterColumn colId="2" hiddenButton="1"/>
    <filterColumn colId="3" hiddenButton="1"/>
  </autoFilter>
  <tableColumns count="4">
    <tableColumn id="1" xr3:uid="{FA7B4FCF-0240-46AD-91B0-AF415E98FEC2}" name="pays" dataDxfId="25" dataCellStyle="Milliers [0]"/>
    <tableColumn id="2" xr3:uid="{B11DDB2E-5AEF-41A8-B383-BCD4CE4FDABD}" name="mean" dataDxfId="24" dataCellStyle="Milliers [0]"/>
    <tableColumn id="3" xr3:uid="{E2FC7BAA-7D26-478D-AC61-DDD7925AD089}" name="median" dataDxfId="23" dataCellStyle="Milliers [0]"/>
    <tableColumn id="4" xr3:uid="{AEC52953-5875-4DD0-8234-F56CF7D6E03D}" name="ecart_pct" dataDxfId="22" dataCellStyle="Milliers [0]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36B592F-BACB-4F1C-BF84-6551664CC3EE}" name="Tableau3" displayName="Tableau3" ref="A3:B7" totalsRowShown="0" headerRowDxfId="21" dataDxfId="20" headerRowCellStyle="Milliers [0]" dataCellStyle="Milliers [0]">
  <autoFilter ref="A3:B7" xr:uid="{336B592F-BACB-4F1C-BF84-6551664CC3EE}">
    <filterColumn colId="0" hiddenButton="1"/>
    <filterColumn colId="1" hiddenButton="1"/>
  </autoFilter>
  <tableColumns count="2">
    <tableColumn id="1" xr3:uid="{4C5F4DE3-60DD-4FA4-9CEC-B65919EFF1AB}" name="categorie" dataDxfId="19" dataCellStyle="Milliers [0]"/>
    <tableColumn id="2" xr3:uid="{C94DEB7A-1780-4826-BC91-C2DCCBBB484E}" name="ca" dataDxfId="18" dataCellStyle="Milliers [0]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B679A3-877A-4CE1-BA63-3D91CD75631B}" name="Tableau4" displayName="Tableau4" ref="A3:I75" totalsRowShown="0" headerRowDxfId="17" dataDxfId="16" headerRowCellStyle="Milliers [0]" dataCellStyle="Milliers [0]">
  <autoFilter ref="A3:I75" xr:uid="{1FB679A3-877A-4CE1-BA63-3D91CD75631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040584B5-0894-4E9D-A87F-BE915F26F885}" name="id_vente" dataDxfId="15" dataCellStyle="Milliers [0]"/>
    <tableColumn id="2" xr3:uid="{A1038C0A-606A-4FB3-90B0-1E1C97997619}" name="date_vente" dataDxfId="14"/>
    <tableColumn id="3" xr3:uid="{0B575C01-939F-4800-B5EE-DED4E9327A07}" name="produit_id" dataDxfId="13" dataCellStyle="Milliers [0]"/>
    <tableColumn id="4" xr3:uid="{E45242A7-EE65-4A1F-8D00-D8801C6746AC}" name="pays" dataDxfId="12" dataCellStyle="Milliers [0]"/>
    <tableColumn id="5" xr3:uid="{AEA2F7A3-5230-4141-8D7E-7808B8825D9A}" name="quantite" dataDxfId="11" dataCellStyle="Milliers [0]"/>
    <tableColumn id="6" xr3:uid="{EA5BF0A8-591C-4190-B559-662C4D4AEC03}" name="prix_unitaire" dataDxfId="10" dataCellStyle="Milliers [0]"/>
    <tableColumn id="7" xr3:uid="{F63D1276-2BA4-4C1A-BFAD-92AA2AC8167A}" name="remise_pct" dataDxfId="9"/>
    <tableColumn id="8" xr3:uid="{EFB7DB23-2501-4940-91AF-47D7A58DB697}" name="mois" dataDxfId="8" dataCellStyle="Milliers [0]"/>
    <tableColumn id="9" xr3:uid="{F2933EB3-F1BE-4224-B636-B64C6DE6E59A}" name="ca" dataDxfId="7" dataCellStyle="Milliers [0]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48DB6F6-39EE-485E-B6E1-FF63590BCFC8}" name="Tableau5" displayName="Tableau5" ref="A3:B7" totalsRowShown="0" headerRowDxfId="6" headerRowCellStyle="Milliers [0]">
  <autoFilter ref="A3:B7" xr:uid="{548DB6F6-39EE-485E-B6E1-FF63590BCFC8}">
    <filterColumn colId="0" hiddenButton="1"/>
    <filterColumn colId="1" hiddenButton="1"/>
  </autoFilter>
  <tableColumns count="2">
    <tableColumn id="1" xr3:uid="{56228FC9-10AF-4464-ADC4-76E116D173E4}" name="categorie" dataDxfId="5" dataCellStyle="Milliers [0]"/>
    <tableColumn id="2" xr3:uid="{6AB7C98D-EC7B-4D4B-9C00-C559675CAD67}" name="corr." dataDxfId="4" dataCellStyle="Milliers [0]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5D65CC5-9587-400C-B4BB-E0A7C5C13BEC}" name="Tableau6" displayName="Tableau6" ref="A3:B7" totalsRowShown="0" headerRowDxfId="3" dataDxfId="2" headerRowCellStyle="Milliers [0]" dataCellStyle="Milliers [0]">
  <autoFilter ref="A3:B7" xr:uid="{C5D65CC5-9587-400C-B4BB-E0A7C5C13BEC}">
    <filterColumn colId="0" hiddenButton="1"/>
    <filterColumn colId="1" hiddenButton="1"/>
  </autoFilter>
  <tableColumns count="2">
    <tableColumn id="1" xr3:uid="{42EA00DE-37FE-4A0F-8E67-334548D4E321}" name="categorie" dataDxfId="1" dataCellStyle="Milliers [0]"/>
    <tableColumn id="2" xr3:uid="{277F9800-B4C0-446D-83A8-FFDE13ECB29F}" name="corr." dataDxfId="0" dataCellStyle="Milliers [0]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showGridLines="0" tabSelected="1" zoomScale="120" zoomScaleNormal="120" workbookViewId="0">
      <selection activeCell="C21" sqref="C21"/>
    </sheetView>
  </sheetViews>
  <sheetFormatPr baseColWidth="10" defaultColWidth="9.140625" defaultRowHeight="17.25" x14ac:dyDescent="0.3"/>
  <cols>
    <col min="1" max="1" width="15.7109375" style="1" bestFit="1" customWidth="1"/>
    <col min="2" max="2" width="15.42578125" style="1" bestFit="1" customWidth="1"/>
    <col min="3" max="16384" width="9.140625" style="1"/>
  </cols>
  <sheetData>
    <row r="1" spans="1:3" ht="22.5" customHeight="1" x14ac:dyDescent="0.3">
      <c r="A1" s="2" t="s">
        <v>46</v>
      </c>
      <c r="B1" s="2"/>
      <c r="C1" s="2"/>
    </row>
    <row r="2" spans="1:3" x14ac:dyDescent="0.3">
      <c r="A2" s="3"/>
      <c r="B2" s="3"/>
      <c r="C2" s="3"/>
    </row>
    <row r="3" spans="1:3" ht="23.25" customHeight="1" x14ac:dyDescent="0.3">
      <c r="A3" s="4" t="s">
        <v>1</v>
      </c>
      <c r="B3" s="4" t="s">
        <v>0</v>
      </c>
      <c r="C3" s="12"/>
    </row>
    <row r="4" spans="1:3" x14ac:dyDescent="0.3">
      <c r="A4" s="3" t="s">
        <v>2</v>
      </c>
      <c r="B4" s="3">
        <v>173838740.59999999</v>
      </c>
      <c r="C4" s="3"/>
    </row>
    <row r="5" spans="1:3" x14ac:dyDescent="0.3">
      <c r="A5" s="3" t="s">
        <v>3</v>
      </c>
      <c r="B5" s="3">
        <v>180662017.94999999</v>
      </c>
      <c r="C5" s="3"/>
    </row>
    <row r="6" spans="1:3" x14ac:dyDescent="0.3">
      <c r="A6" s="3" t="s">
        <v>4</v>
      </c>
      <c r="B6" s="3">
        <v>162010516.34999999</v>
      </c>
      <c r="C6" s="3"/>
    </row>
    <row r="7" spans="1:3" x14ac:dyDescent="0.3">
      <c r="A7" s="3" t="s">
        <v>5</v>
      </c>
      <c r="B7" s="3">
        <v>146930324.40000001</v>
      </c>
      <c r="C7" s="3"/>
    </row>
    <row r="8" spans="1:3" x14ac:dyDescent="0.3">
      <c r="A8" s="3" t="s">
        <v>6</v>
      </c>
      <c r="B8" s="3">
        <v>159111083.84999999</v>
      </c>
      <c r="C8" s="3"/>
    </row>
    <row r="9" spans="1:3" x14ac:dyDescent="0.3">
      <c r="A9" s="3"/>
      <c r="B9" s="3"/>
      <c r="C9" s="3"/>
    </row>
    <row r="10" spans="1:3" x14ac:dyDescent="0.3">
      <c r="A10" s="3"/>
      <c r="B10" s="3"/>
      <c r="C10" s="3"/>
    </row>
    <row r="11" spans="1:3" x14ac:dyDescent="0.3">
      <c r="A11" s="3"/>
      <c r="B11" s="3"/>
      <c r="C11" s="3"/>
    </row>
    <row r="12" spans="1:3" x14ac:dyDescent="0.3">
      <c r="A12" s="3"/>
      <c r="B12" s="3"/>
      <c r="C12" s="3"/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showGridLines="0" zoomScale="120" zoomScaleNormal="120" workbookViewId="0">
      <selection activeCell="D16" sqref="D16"/>
    </sheetView>
  </sheetViews>
  <sheetFormatPr baseColWidth="10" defaultColWidth="9.140625" defaultRowHeight="17.25" x14ac:dyDescent="0.3"/>
  <cols>
    <col min="1" max="1" width="17.28515625" style="3" bestFit="1" customWidth="1"/>
    <col min="2" max="2" width="12.85546875" style="3" bestFit="1" customWidth="1"/>
    <col min="3" max="3" width="14" style="3" customWidth="1"/>
    <col min="4" max="4" width="15.5703125" style="3" customWidth="1"/>
    <col min="5" max="16384" width="9.140625" style="3"/>
  </cols>
  <sheetData>
    <row r="1" spans="1:4" ht="24" customHeight="1" x14ac:dyDescent="0.3">
      <c r="A1" s="2" t="s">
        <v>47</v>
      </c>
      <c r="B1" s="5"/>
      <c r="C1" s="5"/>
      <c r="D1" s="5"/>
    </row>
    <row r="3" spans="1:4" s="4" customFormat="1" ht="22.5" customHeight="1" x14ac:dyDescent="0.25">
      <c r="A3" s="4" t="s">
        <v>1</v>
      </c>
      <c r="B3" s="4" t="s">
        <v>7</v>
      </c>
      <c r="C3" s="4" t="s">
        <v>8</v>
      </c>
      <c r="D3" s="4" t="s">
        <v>9</v>
      </c>
    </row>
    <row r="4" spans="1:4" x14ac:dyDescent="0.3">
      <c r="A4" s="3" t="s">
        <v>2</v>
      </c>
      <c r="B4" s="3">
        <v>1004848.211560694</v>
      </c>
      <c r="C4" s="3">
        <v>387264</v>
      </c>
      <c r="D4" s="7">
        <v>1.594736953501213</v>
      </c>
    </row>
    <row r="5" spans="1:4" x14ac:dyDescent="0.3">
      <c r="A5" s="3" t="s">
        <v>3</v>
      </c>
      <c r="B5" s="3">
        <v>1088325.409337349</v>
      </c>
      <c r="C5" s="3">
        <v>401780.65</v>
      </c>
      <c r="D5" s="7">
        <v>1.708755161149123</v>
      </c>
    </row>
    <row r="6" spans="1:4" x14ac:dyDescent="0.3">
      <c r="A6" s="3" t="s">
        <v>4</v>
      </c>
      <c r="B6" s="3">
        <v>958642.10857988161</v>
      </c>
      <c r="C6" s="3">
        <v>386739.9</v>
      </c>
      <c r="D6" s="7">
        <v>1.478777360649578</v>
      </c>
    </row>
    <row r="7" spans="1:4" x14ac:dyDescent="0.3">
      <c r="A7" s="3" t="s">
        <v>5</v>
      </c>
      <c r="B7" s="3">
        <v>986109.55973154365</v>
      </c>
      <c r="C7" s="3">
        <v>385588</v>
      </c>
      <c r="D7" s="7">
        <v>1.557417657529653</v>
      </c>
    </row>
    <row r="8" spans="1:4" x14ac:dyDescent="0.3">
      <c r="A8" s="3" t="s">
        <v>6</v>
      </c>
      <c r="B8" s="3">
        <v>1067859.623154362</v>
      </c>
      <c r="C8" s="3">
        <v>517625.35</v>
      </c>
      <c r="D8" s="7">
        <v>1.062997152582196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showGridLines="0" zoomScale="120" zoomScaleNormal="120" workbookViewId="0">
      <selection activeCell="C8" sqref="C8"/>
    </sheetView>
  </sheetViews>
  <sheetFormatPr baseColWidth="10" defaultColWidth="9.140625" defaultRowHeight="17.25" x14ac:dyDescent="0.3"/>
  <cols>
    <col min="1" max="1" width="17.42578125" style="3" bestFit="1" customWidth="1"/>
    <col min="2" max="2" width="12.85546875" style="3" bestFit="1" customWidth="1"/>
    <col min="3" max="16384" width="9.140625" style="3"/>
  </cols>
  <sheetData>
    <row r="1" spans="1:5" ht="24" customHeight="1" x14ac:dyDescent="0.3">
      <c r="A1" s="2" t="s">
        <v>52</v>
      </c>
      <c r="B1" s="5"/>
      <c r="C1" s="5"/>
      <c r="D1" s="8"/>
      <c r="E1" s="8"/>
    </row>
    <row r="3" spans="1:5" ht="25.5" customHeight="1" x14ac:dyDescent="0.3">
      <c r="A3" s="4" t="s">
        <v>10</v>
      </c>
      <c r="B3" s="4" t="s">
        <v>0</v>
      </c>
      <c r="C3" s="12"/>
    </row>
    <row r="4" spans="1:5" x14ac:dyDescent="0.3">
      <c r="A4" s="3" t="s">
        <v>11</v>
      </c>
      <c r="B4" s="3">
        <v>1910921.291477083</v>
      </c>
    </row>
    <row r="5" spans="1:5" x14ac:dyDescent="0.3">
      <c r="A5" s="3" t="s">
        <v>12</v>
      </c>
      <c r="B5" s="3">
        <v>1291282.097803524</v>
      </c>
    </row>
    <row r="6" spans="1:5" x14ac:dyDescent="0.3">
      <c r="A6" s="3" t="s">
        <v>13</v>
      </c>
      <c r="B6" s="3">
        <v>193724.53914662221</v>
      </c>
    </row>
    <row r="7" spans="1:5" x14ac:dyDescent="0.3">
      <c r="A7" s="3" t="s">
        <v>14</v>
      </c>
      <c r="B7" s="3">
        <v>74974.563379038882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75"/>
  <sheetViews>
    <sheetView showGridLines="0" workbookViewId="0">
      <selection activeCell="M18" sqref="M18"/>
    </sheetView>
  </sheetViews>
  <sheetFormatPr baseColWidth="10" defaultColWidth="9.140625" defaultRowHeight="17.25" x14ac:dyDescent="0.3"/>
  <cols>
    <col min="1" max="1" width="14.5703125" style="3" customWidth="1"/>
    <col min="2" max="2" width="22.7109375" style="1" bestFit="1" customWidth="1"/>
    <col min="3" max="3" width="16.28515625" style="3" customWidth="1"/>
    <col min="4" max="4" width="17.28515625" style="3" bestFit="1" customWidth="1"/>
    <col min="5" max="5" width="14.28515625" style="3" customWidth="1"/>
    <col min="6" max="6" width="18.7109375" style="3" customWidth="1"/>
    <col min="7" max="7" width="15.140625" style="1" customWidth="1"/>
    <col min="8" max="8" width="11.140625" style="3" bestFit="1" customWidth="1"/>
    <col min="9" max="9" width="12.85546875" style="3" bestFit="1" customWidth="1"/>
    <col min="10" max="16384" width="9.140625" style="1"/>
  </cols>
  <sheetData>
    <row r="1" spans="1:10" ht="27" customHeight="1" x14ac:dyDescent="0.3">
      <c r="A1" s="2" t="s">
        <v>48</v>
      </c>
      <c r="B1" s="5"/>
      <c r="C1" s="5"/>
      <c r="D1" s="5"/>
    </row>
    <row r="3" spans="1:10" s="10" customFormat="1" ht="24" customHeight="1" x14ac:dyDescent="0.25">
      <c r="A3" s="4" t="s">
        <v>15</v>
      </c>
      <c r="B3" s="10" t="s">
        <v>16</v>
      </c>
      <c r="C3" s="4" t="s">
        <v>17</v>
      </c>
      <c r="D3" s="4" t="s">
        <v>1</v>
      </c>
      <c r="E3" s="4" t="s">
        <v>18</v>
      </c>
      <c r="F3" s="4" t="s">
        <v>19</v>
      </c>
      <c r="G3" s="10" t="s">
        <v>20</v>
      </c>
      <c r="H3" s="4" t="s">
        <v>21</v>
      </c>
      <c r="I3" s="4" t="s">
        <v>0</v>
      </c>
      <c r="J3" s="13"/>
    </row>
    <row r="4" spans="1:10" x14ac:dyDescent="0.3">
      <c r="A4" s="3">
        <v>1</v>
      </c>
      <c r="B4" s="9">
        <v>45315</v>
      </c>
      <c r="C4" s="3">
        <v>2</v>
      </c>
      <c r="D4" s="3" t="s">
        <v>2</v>
      </c>
      <c r="E4" s="3">
        <v>12</v>
      </c>
      <c r="F4" s="3">
        <v>371451</v>
      </c>
      <c r="G4" s="1">
        <v>0</v>
      </c>
      <c r="H4" s="3" t="s">
        <v>22</v>
      </c>
      <c r="I4" s="3">
        <v>4457412</v>
      </c>
    </row>
    <row r="5" spans="1:10" x14ac:dyDescent="0.3">
      <c r="A5" s="3">
        <v>11</v>
      </c>
      <c r="B5" s="9">
        <v>45303</v>
      </c>
      <c r="C5" s="3">
        <v>5</v>
      </c>
      <c r="D5" s="3" t="s">
        <v>5</v>
      </c>
      <c r="E5" s="3">
        <v>11</v>
      </c>
      <c r="F5" s="3">
        <v>434033</v>
      </c>
      <c r="G5" s="1">
        <v>0</v>
      </c>
      <c r="H5" s="3" t="s">
        <v>22</v>
      </c>
      <c r="I5" s="3">
        <v>4774363</v>
      </c>
    </row>
    <row r="6" spans="1:10" x14ac:dyDescent="0.3">
      <c r="A6" s="3">
        <v>29</v>
      </c>
      <c r="B6" s="9">
        <v>45316</v>
      </c>
      <c r="C6" s="3">
        <v>2</v>
      </c>
      <c r="D6" s="3" t="s">
        <v>2</v>
      </c>
      <c r="E6" s="3">
        <v>12</v>
      </c>
      <c r="F6" s="3">
        <v>379468</v>
      </c>
      <c r="G6" s="1">
        <v>0</v>
      </c>
      <c r="H6" s="3" t="s">
        <v>22</v>
      </c>
      <c r="I6" s="3">
        <v>4553616</v>
      </c>
    </row>
    <row r="7" spans="1:10" x14ac:dyDescent="0.3">
      <c r="A7" s="3">
        <v>31</v>
      </c>
      <c r="B7" s="9">
        <v>45309</v>
      </c>
      <c r="C7" s="3">
        <v>5</v>
      </c>
      <c r="D7" s="3" t="s">
        <v>4</v>
      </c>
      <c r="E7" s="3">
        <v>10</v>
      </c>
      <c r="F7" s="3">
        <v>416772</v>
      </c>
      <c r="G7" s="1">
        <v>0</v>
      </c>
      <c r="H7" s="3" t="s">
        <v>22</v>
      </c>
      <c r="I7" s="3">
        <v>4167720</v>
      </c>
    </row>
    <row r="8" spans="1:10" x14ac:dyDescent="0.3">
      <c r="A8" s="3">
        <v>34</v>
      </c>
      <c r="B8" s="9">
        <v>45325</v>
      </c>
      <c r="C8" s="3">
        <v>1</v>
      </c>
      <c r="D8" s="3" t="s">
        <v>4</v>
      </c>
      <c r="E8" s="3">
        <v>9</v>
      </c>
      <c r="F8" s="3">
        <v>729759</v>
      </c>
      <c r="G8" s="1">
        <v>0</v>
      </c>
      <c r="H8" s="3" t="s">
        <v>23</v>
      </c>
      <c r="I8" s="3">
        <v>6567831</v>
      </c>
    </row>
    <row r="9" spans="1:10" x14ac:dyDescent="0.3">
      <c r="A9" s="3">
        <v>52</v>
      </c>
      <c r="B9" s="9">
        <v>45331</v>
      </c>
      <c r="C9" s="3">
        <v>2</v>
      </c>
      <c r="D9" s="3" t="s">
        <v>5</v>
      </c>
      <c r="E9" s="3">
        <v>11</v>
      </c>
      <c r="F9" s="3">
        <v>383180</v>
      </c>
      <c r="G9" s="1">
        <v>5</v>
      </c>
      <c r="H9" s="3" t="s">
        <v>23</v>
      </c>
      <c r="I9" s="3">
        <v>4004231</v>
      </c>
    </row>
    <row r="10" spans="1:10" x14ac:dyDescent="0.3">
      <c r="A10" s="3">
        <v>66</v>
      </c>
      <c r="B10" s="9">
        <v>45379</v>
      </c>
      <c r="C10" s="3">
        <v>1</v>
      </c>
      <c r="D10" s="3" t="s">
        <v>3</v>
      </c>
      <c r="E10" s="3">
        <v>6</v>
      </c>
      <c r="F10" s="3">
        <v>779924</v>
      </c>
      <c r="G10" s="1">
        <v>10</v>
      </c>
      <c r="H10" s="3" t="s">
        <v>24</v>
      </c>
      <c r="I10" s="3">
        <v>4211589.6000000006</v>
      </c>
    </row>
    <row r="11" spans="1:10" x14ac:dyDescent="0.3">
      <c r="A11" s="3">
        <v>85</v>
      </c>
      <c r="B11" s="9">
        <v>45371</v>
      </c>
      <c r="C11" s="3">
        <v>1</v>
      </c>
      <c r="D11" s="3" t="s">
        <v>3</v>
      </c>
      <c r="E11" s="3">
        <v>5</v>
      </c>
      <c r="F11" s="3">
        <v>728264</v>
      </c>
      <c r="G11" s="1">
        <v>10</v>
      </c>
      <c r="H11" s="3" t="s">
        <v>24</v>
      </c>
      <c r="I11" s="3">
        <v>3277188</v>
      </c>
    </row>
    <row r="12" spans="1:10" x14ac:dyDescent="0.3">
      <c r="A12" s="3">
        <v>92</v>
      </c>
      <c r="B12" s="9">
        <v>45405</v>
      </c>
      <c r="C12" s="3">
        <v>1</v>
      </c>
      <c r="D12" s="3" t="s">
        <v>2</v>
      </c>
      <c r="E12" s="3">
        <v>7</v>
      </c>
      <c r="F12" s="3">
        <v>728913</v>
      </c>
      <c r="G12" s="1">
        <v>10</v>
      </c>
      <c r="H12" s="3" t="s">
        <v>25</v>
      </c>
      <c r="I12" s="3">
        <v>4592151.9000000004</v>
      </c>
    </row>
    <row r="13" spans="1:10" x14ac:dyDescent="0.3">
      <c r="A13" s="3">
        <v>103</v>
      </c>
      <c r="B13" s="9">
        <v>45392</v>
      </c>
      <c r="C13" s="3">
        <v>1</v>
      </c>
      <c r="D13" s="3" t="s">
        <v>4</v>
      </c>
      <c r="E13" s="3">
        <v>7</v>
      </c>
      <c r="F13" s="3">
        <v>748273</v>
      </c>
      <c r="G13" s="1">
        <v>15</v>
      </c>
      <c r="H13" s="3" t="s">
        <v>25</v>
      </c>
      <c r="I13" s="3">
        <v>4452224.3499999996</v>
      </c>
    </row>
    <row r="14" spans="1:10" x14ac:dyDescent="0.3">
      <c r="A14" s="3">
        <v>119</v>
      </c>
      <c r="B14" s="9">
        <v>45401</v>
      </c>
      <c r="C14" s="3">
        <v>2</v>
      </c>
      <c r="D14" s="3" t="s">
        <v>3</v>
      </c>
      <c r="E14" s="3">
        <v>11</v>
      </c>
      <c r="F14" s="3">
        <v>383816</v>
      </c>
      <c r="G14" s="1">
        <v>0</v>
      </c>
      <c r="H14" s="3" t="s">
        <v>25</v>
      </c>
      <c r="I14" s="3">
        <v>4221976</v>
      </c>
    </row>
    <row r="15" spans="1:10" x14ac:dyDescent="0.3">
      <c r="A15" s="3">
        <v>120</v>
      </c>
      <c r="B15" s="9">
        <v>45429</v>
      </c>
      <c r="C15" s="3">
        <v>1</v>
      </c>
      <c r="D15" s="3" t="s">
        <v>3</v>
      </c>
      <c r="E15" s="3">
        <v>9</v>
      </c>
      <c r="F15" s="3">
        <v>744628</v>
      </c>
      <c r="G15" s="1">
        <v>0</v>
      </c>
      <c r="H15" s="3" t="s">
        <v>26</v>
      </c>
      <c r="I15" s="3">
        <v>6701652</v>
      </c>
    </row>
    <row r="16" spans="1:10" x14ac:dyDescent="0.3">
      <c r="A16" s="3">
        <v>155</v>
      </c>
      <c r="B16" s="9">
        <v>45415</v>
      </c>
      <c r="C16" s="3">
        <v>1</v>
      </c>
      <c r="D16" s="3" t="s">
        <v>5</v>
      </c>
      <c r="E16" s="3">
        <v>12</v>
      </c>
      <c r="F16" s="3">
        <v>736674</v>
      </c>
      <c r="G16" s="1">
        <v>0</v>
      </c>
      <c r="H16" s="3" t="s">
        <v>26</v>
      </c>
      <c r="I16" s="3">
        <v>8840088</v>
      </c>
    </row>
    <row r="17" spans="1:9" x14ac:dyDescent="0.3">
      <c r="A17" s="3">
        <v>169</v>
      </c>
      <c r="B17" s="9">
        <v>45459</v>
      </c>
      <c r="C17" s="3">
        <v>5</v>
      </c>
      <c r="D17" s="3" t="s">
        <v>4</v>
      </c>
      <c r="E17" s="3">
        <v>12</v>
      </c>
      <c r="F17" s="3">
        <v>410484</v>
      </c>
      <c r="G17" s="1">
        <v>10</v>
      </c>
      <c r="H17" s="3" t="s">
        <v>27</v>
      </c>
      <c r="I17" s="3">
        <v>4433227.2</v>
      </c>
    </row>
    <row r="18" spans="1:9" x14ac:dyDescent="0.3">
      <c r="A18" s="3">
        <v>190</v>
      </c>
      <c r="B18" s="9">
        <v>45479</v>
      </c>
      <c r="C18" s="3">
        <v>5</v>
      </c>
      <c r="D18" s="3" t="s">
        <v>2</v>
      </c>
      <c r="E18" s="3">
        <v>8</v>
      </c>
      <c r="F18" s="3">
        <v>436851</v>
      </c>
      <c r="G18" s="1">
        <v>5</v>
      </c>
      <c r="H18" s="3" t="s">
        <v>28</v>
      </c>
      <c r="I18" s="3">
        <v>3320067.6</v>
      </c>
    </row>
    <row r="19" spans="1:9" x14ac:dyDescent="0.3">
      <c r="A19" s="3">
        <v>195</v>
      </c>
      <c r="B19" s="9">
        <v>45493</v>
      </c>
      <c r="C19" s="3">
        <v>1</v>
      </c>
      <c r="D19" s="3" t="s">
        <v>4</v>
      </c>
      <c r="E19" s="3">
        <v>11</v>
      </c>
      <c r="F19" s="3">
        <v>770873</v>
      </c>
      <c r="G19" s="1">
        <v>20</v>
      </c>
      <c r="H19" s="3" t="s">
        <v>28</v>
      </c>
      <c r="I19" s="3">
        <v>6783682.4000000004</v>
      </c>
    </row>
    <row r="20" spans="1:9" x14ac:dyDescent="0.3">
      <c r="A20" s="3">
        <v>218</v>
      </c>
      <c r="B20" s="9">
        <v>45492</v>
      </c>
      <c r="C20" s="3">
        <v>1</v>
      </c>
      <c r="D20" s="3" t="s">
        <v>2</v>
      </c>
      <c r="E20" s="3">
        <v>6</v>
      </c>
      <c r="F20" s="3">
        <v>730768</v>
      </c>
      <c r="G20" s="1">
        <v>0</v>
      </c>
      <c r="H20" s="3" t="s">
        <v>28</v>
      </c>
      <c r="I20" s="3">
        <v>4384608</v>
      </c>
    </row>
    <row r="21" spans="1:9" x14ac:dyDescent="0.3">
      <c r="A21" s="3">
        <v>245</v>
      </c>
      <c r="B21" s="9">
        <v>45528</v>
      </c>
      <c r="C21" s="3">
        <v>2</v>
      </c>
      <c r="D21" s="3" t="s">
        <v>6</v>
      </c>
      <c r="E21" s="3">
        <v>12</v>
      </c>
      <c r="F21" s="3">
        <v>385061</v>
      </c>
      <c r="G21" s="1">
        <v>0</v>
      </c>
      <c r="H21" s="3" t="s">
        <v>29</v>
      </c>
      <c r="I21" s="3">
        <v>4620732</v>
      </c>
    </row>
    <row r="22" spans="1:9" x14ac:dyDescent="0.3">
      <c r="A22" s="3">
        <v>261</v>
      </c>
      <c r="B22" s="9">
        <v>45560</v>
      </c>
      <c r="C22" s="3">
        <v>2</v>
      </c>
      <c r="D22" s="3" t="s">
        <v>4</v>
      </c>
      <c r="E22" s="3">
        <v>11</v>
      </c>
      <c r="F22" s="3">
        <v>365333</v>
      </c>
      <c r="G22" s="1">
        <v>5</v>
      </c>
      <c r="H22" s="3" t="s">
        <v>30</v>
      </c>
      <c r="I22" s="3">
        <v>3817729.85</v>
      </c>
    </row>
    <row r="23" spans="1:9" x14ac:dyDescent="0.3">
      <c r="A23" s="3">
        <v>269</v>
      </c>
      <c r="B23" s="9">
        <v>45563</v>
      </c>
      <c r="C23" s="3">
        <v>1</v>
      </c>
      <c r="D23" s="3" t="s">
        <v>2</v>
      </c>
      <c r="E23" s="3">
        <v>6</v>
      </c>
      <c r="F23" s="3">
        <v>774877</v>
      </c>
      <c r="G23" s="1">
        <v>0</v>
      </c>
      <c r="H23" s="3" t="s">
        <v>30</v>
      </c>
      <c r="I23" s="3">
        <v>4649262</v>
      </c>
    </row>
    <row r="24" spans="1:9" x14ac:dyDescent="0.3">
      <c r="A24" s="3">
        <v>273</v>
      </c>
      <c r="B24" s="9">
        <v>45537</v>
      </c>
      <c r="C24" s="3">
        <v>2</v>
      </c>
      <c r="D24" s="3" t="s">
        <v>3</v>
      </c>
      <c r="E24" s="3">
        <v>12</v>
      </c>
      <c r="F24" s="3">
        <v>364205</v>
      </c>
      <c r="G24" s="1">
        <v>5</v>
      </c>
      <c r="H24" s="3" t="s">
        <v>30</v>
      </c>
      <c r="I24" s="3">
        <v>4151937</v>
      </c>
    </row>
    <row r="25" spans="1:9" x14ac:dyDescent="0.3">
      <c r="A25" s="3">
        <v>282</v>
      </c>
      <c r="B25" s="9">
        <v>45590</v>
      </c>
      <c r="C25" s="3">
        <v>1</v>
      </c>
      <c r="D25" s="3" t="s">
        <v>3</v>
      </c>
      <c r="E25" s="3">
        <v>5</v>
      </c>
      <c r="F25" s="3">
        <v>726020</v>
      </c>
      <c r="G25" s="1">
        <v>0</v>
      </c>
      <c r="H25" s="3" t="s">
        <v>31</v>
      </c>
      <c r="I25" s="3">
        <v>3630100</v>
      </c>
    </row>
    <row r="26" spans="1:9" x14ac:dyDescent="0.3">
      <c r="A26" s="3">
        <v>285</v>
      </c>
      <c r="B26" s="9">
        <v>45571</v>
      </c>
      <c r="C26" s="3">
        <v>1</v>
      </c>
      <c r="D26" s="3" t="s">
        <v>3</v>
      </c>
      <c r="E26" s="3">
        <v>10</v>
      </c>
      <c r="F26" s="3">
        <v>722329</v>
      </c>
      <c r="G26" s="1">
        <v>0</v>
      </c>
      <c r="H26" s="3" t="s">
        <v>31</v>
      </c>
      <c r="I26" s="3">
        <v>7223290</v>
      </c>
    </row>
    <row r="27" spans="1:9" x14ac:dyDescent="0.3">
      <c r="A27" s="3">
        <v>318</v>
      </c>
      <c r="B27" s="9">
        <v>45623</v>
      </c>
      <c r="C27" s="3">
        <v>5</v>
      </c>
      <c r="D27" s="3" t="s">
        <v>2</v>
      </c>
      <c r="E27" s="3">
        <v>12</v>
      </c>
      <c r="F27" s="3">
        <v>416829</v>
      </c>
      <c r="G27" s="1">
        <v>0</v>
      </c>
      <c r="H27" s="3" t="s">
        <v>32</v>
      </c>
      <c r="I27" s="3">
        <v>5001948</v>
      </c>
    </row>
    <row r="28" spans="1:9" x14ac:dyDescent="0.3">
      <c r="A28" s="3">
        <v>320</v>
      </c>
      <c r="B28" s="9">
        <v>45619</v>
      </c>
      <c r="C28" s="3">
        <v>5</v>
      </c>
      <c r="D28" s="3" t="s">
        <v>3</v>
      </c>
      <c r="E28" s="3">
        <v>8</v>
      </c>
      <c r="F28" s="3">
        <v>424310</v>
      </c>
      <c r="G28" s="1">
        <v>0</v>
      </c>
      <c r="H28" s="3" t="s">
        <v>32</v>
      </c>
      <c r="I28" s="3">
        <v>3394480</v>
      </c>
    </row>
    <row r="29" spans="1:9" x14ac:dyDescent="0.3">
      <c r="A29" s="3">
        <v>324</v>
      </c>
      <c r="B29" s="9">
        <v>45601</v>
      </c>
      <c r="C29" s="3">
        <v>1</v>
      </c>
      <c r="D29" s="3" t="s">
        <v>6</v>
      </c>
      <c r="E29" s="3">
        <v>10</v>
      </c>
      <c r="F29" s="3">
        <v>763357</v>
      </c>
      <c r="G29" s="1">
        <v>0</v>
      </c>
      <c r="H29" s="3" t="s">
        <v>32</v>
      </c>
      <c r="I29" s="3">
        <v>7633570</v>
      </c>
    </row>
    <row r="30" spans="1:9" x14ac:dyDescent="0.3">
      <c r="A30" s="3">
        <v>325</v>
      </c>
      <c r="B30" s="9">
        <v>45615</v>
      </c>
      <c r="C30" s="3">
        <v>2</v>
      </c>
      <c r="D30" s="3" t="s">
        <v>6</v>
      </c>
      <c r="E30" s="3">
        <v>11</v>
      </c>
      <c r="F30" s="3">
        <v>374920</v>
      </c>
      <c r="G30" s="1">
        <v>0</v>
      </c>
      <c r="H30" s="3" t="s">
        <v>32</v>
      </c>
      <c r="I30" s="3">
        <v>4124120</v>
      </c>
    </row>
    <row r="31" spans="1:9" x14ac:dyDescent="0.3">
      <c r="A31" s="3">
        <v>376</v>
      </c>
      <c r="B31" s="9">
        <v>45633</v>
      </c>
      <c r="C31" s="3">
        <v>1</v>
      </c>
      <c r="D31" s="3" t="s">
        <v>5</v>
      </c>
      <c r="E31" s="3">
        <v>6</v>
      </c>
      <c r="F31" s="3">
        <v>743909</v>
      </c>
      <c r="G31" s="1">
        <v>0</v>
      </c>
      <c r="H31" s="3" t="s">
        <v>33</v>
      </c>
      <c r="I31" s="3">
        <v>4463454</v>
      </c>
    </row>
    <row r="32" spans="1:9" x14ac:dyDescent="0.3">
      <c r="A32" s="3">
        <v>383</v>
      </c>
      <c r="B32" s="9">
        <v>45638</v>
      </c>
      <c r="C32" s="3">
        <v>5</v>
      </c>
      <c r="D32" s="3" t="s">
        <v>6</v>
      </c>
      <c r="E32" s="3">
        <v>12</v>
      </c>
      <c r="F32" s="3">
        <v>428610</v>
      </c>
      <c r="G32" s="1">
        <v>0</v>
      </c>
      <c r="H32" s="3" t="s">
        <v>33</v>
      </c>
      <c r="I32" s="3">
        <v>5143320</v>
      </c>
    </row>
    <row r="33" spans="1:9" x14ac:dyDescent="0.3">
      <c r="A33" s="3">
        <v>386</v>
      </c>
      <c r="B33" s="9">
        <v>45647</v>
      </c>
      <c r="C33" s="3">
        <v>1</v>
      </c>
      <c r="D33" s="3" t="s">
        <v>3</v>
      </c>
      <c r="E33" s="3">
        <v>12</v>
      </c>
      <c r="F33" s="3">
        <v>718427</v>
      </c>
      <c r="G33" s="1">
        <v>15</v>
      </c>
      <c r="H33" s="3" t="s">
        <v>33</v>
      </c>
      <c r="I33" s="3">
        <v>7327955.3999999994</v>
      </c>
    </row>
    <row r="34" spans="1:9" x14ac:dyDescent="0.3">
      <c r="A34" s="3">
        <v>390</v>
      </c>
      <c r="B34" s="9">
        <v>45648</v>
      </c>
      <c r="C34" s="3">
        <v>1</v>
      </c>
      <c r="D34" s="3" t="s">
        <v>2</v>
      </c>
      <c r="E34" s="3">
        <v>7</v>
      </c>
      <c r="F34" s="3">
        <v>737272</v>
      </c>
      <c r="G34" s="1">
        <v>5</v>
      </c>
      <c r="H34" s="3" t="s">
        <v>33</v>
      </c>
      <c r="I34" s="3">
        <v>4902858.8</v>
      </c>
    </row>
    <row r="35" spans="1:9" x14ac:dyDescent="0.3">
      <c r="A35" s="3">
        <v>400</v>
      </c>
      <c r="B35" s="9">
        <v>45663</v>
      </c>
      <c r="C35" s="3">
        <v>1</v>
      </c>
      <c r="D35" s="3" t="s">
        <v>3</v>
      </c>
      <c r="E35" s="3">
        <v>5</v>
      </c>
      <c r="F35" s="3">
        <v>755084</v>
      </c>
      <c r="G35" s="1">
        <v>10</v>
      </c>
      <c r="H35" s="3" t="s">
        <v>34</v>
      </c>
      <c r="I35" s="3">
        <v>3397878</v>
      </c>
    </row>
    <row r="36" spans="1:9" x14ac:dyDescent="0.3">
      <c r="A36" s="3">
        <v>404</v>
      </c>
      <c r="B36" s="9">
        <v>45669</v>
      </c>
      <c r="C36" s="3">
        <v>5</v>
      </c>
      <c r="D36" s="3" t="s">
        <v>4</v>
      </c>
      <c r="E36" s="3">
        <v>12</v>
      </c>
      <c r="F36" s="3">
        <v>423061</v>
      </c>
      <c r="G36" s="1">
        <v>0</v>
      </c>
      <c r="H36" s="3" t="s">
        <v>34</v>
      </c>
      <c r="I36" s="3">
        <v>5076732</v>
      </c>
    </row>
    <row r="37" spans="1:9" x14ac:dyDescent="0.3">
      <c r="A37" s="3">
        <v>412</v>
      </c>
      <c r="B37" s="9">
        <v>45675</v>
      </c>
      <c r="C37" s="3">
        <v>2</v>
      </c>
      <c r="D37" s="3" t="s">
        <v>2</v>
      </c>
      <c r="E37" s="3">
        <v>9</v>
      </c>
      <c r="F37" s="3">
        <v>395310</v>
      </c>
      <c r="G37" s="1">
        <v>0</v>
      </c>
      <c r="H37" s="3" t="s">
        <v>34</v>
      </c>
      <c r="I37" s="3">
        <v>3557790</v>
      </c>
    </row>
    <row r="38" spans="1:9" x14ac:dyDescent="0.3">
      <c r="A38" s="3">
        <v>417</v>
      </c>
      <c r="B38" s="9">
        <v>45671</v>
      </c>
      <c r="C38" s="3">
        <v>5</v>
      </c>
      <c r="D38" s="3" t="s">
        <v>2</v>
      </c>
      <c r="E38" s="3">
        <v>12</v>
      </c>
      <c r="F38" s="3">
        <v>408152</v>
      </c>
      <c r="G38" s="1">
        <v>0</v>
      </c>
      <c r="H38" s="3" t="s">
        <v>34</v>
      </c>
      <c r="I38" s="3">
        <v>4897824</v>
      </c>
    </row>
    <row r="39" spans="1:9" x14ac:dyDescent="0.3">
      <c r="A39" s="3">
        <v>429</v>
      </c>
      <c r="B39" s="9">
        <v>45685</v>
      </c>
      <c r="C39" s="3">
        <v>1</v>
      </c>
      <c r="D39" s="3" t="s">
        <v>5</v>
      </c>
      <c r="E39" s="3">
        <v>8</v>
      </c>
      <c r="F39" s="3">
        <v>730075</v>
      </c>
      <c r="G39" s="1">
        <v>0</v>
      </c>
      <c r="H39" s="3" t="s">
        <v>34</v>
      </c>
      <c r="I39" s="3">
        <v>5840600</v>
      </c>
    </row>
    <row r="40" spans="1:9" x14ac:dyDescent="0.3">
      <c r="A40" s="3">
        <v>447</v>
      </c>
      <c r="B40" s="9">
        <v>45714</v>
      </c>
      <c r="C40" s="3">
        <v>5</v>
      </c>
      <c r="D40" s="3" t="s">
        <v>3</v>
      </c>
      <c r="E40" s="3">
        <v>9</v>
      </c>
      <c r="F40" s="3">
        <v>436078</v>
      </c>
      <c r="G40" s="1">
        <v>5</v>
      </c>
      <c r="H40" s="3" t="s">
        <v>35</v>
      </c>
      <c r="I40" s="3">
        <v>3728466.9</v>
      </c>
    </row>
    <row r="41" spans="1:9" x14ac:dyDescent="0.3">
      <c r="A41" s="3">
        <v>460</v>
      </c>
      <c r="B41" s="9">
        <v>45714</v>
      </c>
      <c r="C41" s="3">
        <v>5</v>
      </c>
      <c r="D41" s="3" t="s">
        <v>2</v>
      </c>
      <c r="E41" s="3">
        <v>9</v>
      </c>
      <c r="F41" s="3">
        <v>433153</v>
      </c>
      <c r="G41" s="1">
        <v>5</v>
      </c>
      <c r="H41" s="3" t="s">
        <v>35</v>
      </c>
      <c r="I41" s="3">
        <v>3703458.15</v>
      </c>
    </row>
    <row r="42" spans="1:9" x14ac:dyDescent="0.3">
      <c r="A42" s="3">
        <v>475</v>
      </c>
      <c r="B42" s="9">
        <v>45736</v>
      </c>
      <c r="C42" s="3">
        <v>1</v>
      </c>
      <c r="D42" s="3" t="s">
        <v>2</v>
      </c>
      <c r="E42" s="3">
        <v>7</v>
      </c>
      <c r="F42" s="3">
        <v>729911</v>
      </c>
      <c r="G42" s="1">
        <v>0</v>
      </c>
      <c r="H42" s="3" t="s">
        <v>36</v>
      </c>
      <c r="I42" s="3">
        <v>5109377</v>
      </c>
    </row>
    <row r="43" spans="1:9" x14ac:dyDescent="0.3">
      <c r="A43" s="3">
        <v>481</v>
      </c>
      <c r="B43" s="9">
        <v>45721</v>
      </c>
      <c r="C43" s="3">
        <v>1</v>
      </c>
      <c r="D43" s="3" t="s">
        <v>3</v>
      </c>
      <c r="E43" s="3">
        <v>8</v>
      </c>
      <c r="F43" s="3">
        <v>739494</v>
      </c>
      <c r="G43" s="1">
        <v>0</v>
      </c>
      <c r="H43" s="3" t="s">
        <v>36</v>
      </c>
      <c r="I43" s="3">
        <v>5915952</v>
      </c>
    </row>
    <row r="44" spans="1:9" x14ac:dyDescent="0.3">
      <c r="A44" s="3">
        <v>493</v>
      </c>
      <c r="B44" s="9">
        <v>45725</v>
      </c>
      <c r="C44" s="3">
        <v>5</v>
      </c>
      <c r="D44" s="3" t="s">
        <v>5</v>
      </c>
      <c r="E44" s="3">
        <v>10</v>
      </c>
      <c r="F44" s="3">
        <v>431843</v>
      </c>
      <c r="G44" s="1">
        <v>0</v>
      </c>
      <c r="H44" s="3" t="s">
        <v>36</v>
      </c>
      <c r="I44" s="3">
        <v>4318430</v>
      </c>
    </row>
    <row r="45" spans="1:9" x14ac:dyDescent="0.3">
      <c r="A45" s="3">
        <v>498</v>
      </c>
      <c r="B45" s="9">
        <v>45762</v>
      </c>
      <c r="C45" s="3">
        <v>5</v>
      </c>
      <c r="D45" s="3" t="s">
        <v>6</v>
      </c>
      <c r="E45" s="3">
        <v>12</v>
      </c>
      <c r="F45" s="3">
        <v>416771</v>
      </c>
      <c r="G45" s="1">
        <v>0</v>
      </c>
      <c r="H45" s="3" t="s">
        <v>37</v>
      </c>
      <c r="I45" s="3">
        <v>5001252</v>
      </c>
    </row>
    <row r="46" spans="1:9" x14ac:dyDescent="0.3">
      <c r="A46" s="3">
        <v>511</v>
      </c>
      <c r="B46" s="9">
        <v>45771</v>
      </c>
      <c r="C46" s="3">
        <v>1</v>
      </c>
      <c r="D46" s="3" t="s">
        <v>3</v>
      </c>
      <c r="E46" s="3">
        <v>11</v>
      </c>
      <c r="F46" s="3">
        <v>720702</v>
      </c>
      <c r="G46" s="1">
        <v>10</v>
      </c>
      <c r="H46" s="3" t="s">
        <v>37</v>
      </c>
      <c r="I46" s="3">
        <v>7134949.7999999998</v>
      </c>
    </row>
    <row r="47" spans="1:9" x14ac:dyDescent="0.3">
      <c r="A47" s="3">
        <v>529</v>
      </c>
      <c r="B47" s="9">
        <v>45766</v>
      </c>
      <c r="C47" s="3">
        <v>5</v>
      </c>
      <c r="D47" s="3" t="s">
        <v>6</v>
      </c>
      <c r="E47" s="3">
        <v>9</v>
      </c>
      <c r="F47" s="3">
        <v>411124</v>
      </c>
      <c r="G47" s="1">
        <v>10</v>
      </c>
      <c r="H47" s="3" t="s">
        <v>37</v>
      </c>
      <c r="I47" s="3">
        <v>3330104.4</v>
      </c>
    </row>
    <row r="48" spans="1:9" x14ac:dyDescent="0.3">
      <c r="A48" s="3">
        <v>540</v>
      </c>
      <c r="B48" s="9">
        <v>45800</v>
      </c>
      <c r="C48" s="3">
        <v>5</v>
      </c>
      <c r="D48" s="3" t="s">
        <v>6</v>
      </c>
      <c r="E48" s="3">
        <v>12</v>
      </c>
      <c r="F48" s="3">
        <v>435375</v>
      </c>
      <c r="G48" s="1">
        <v>0</v>
      </c>
      <c r="H48" s="3" t="s">
        <v>38</v>
      </c>
      <c r="I48" s="3">
        <v>5224500</v>
      </c>
    </row>
    <row r="49" spans="1:9" x14ac:dyDescent="0.3">
      <c r="A49" s="3">
        <v>543</v>
      </c>
      <c r="B49" s="9">
        <v>45789</v>
      </c>
      <c r="C49" s="3">
        <v>2</v>
      </c>
      <c r="D49" s="3" t="s">
        <v>5</v>
      </c>
      <c r="E49" s="3">
        <v>9</v>
      </c>
      <c r="F49" s="3">
        <v>389492</v>
      </c>
      <c r="G49" s="1">
        <v>5</v>
      </c>
      <c r="H49" s="3" t="s">
        <v>38</v>
      </c>
      <c r="I49" s="3">
        <v>3330156.6</v>
      </c>
    </row>
    <row r="50" spans="1:9" x14ac:dyDescent="0.3">
      <c r="A50" s="3">
        <v>556</v>
      </c>
      <c r="B50" s="9">
        <v>45805</v>
      </c>
      <c r="C50" s="3">
        <v>1</v>
      </c>
      <c r="D50" s="3" t="s">
        <v>2</v>
      </c>
      <c r="E50" s="3">
        <v>12</v>
      </c>
      <c r="F50" s="3">
        <v>738268</v>
      </c>
      <c r="G50" s="1">
        <v>0</v>
      </c>
      <c r="H50" s="3" t="s">
        <v>38</v>
      </c>
      <c r="I50" s="3">
        <v>8859216</v>
      </c>
    </row>
    <row r="51" spans="1:9" x14ac:dyDescent="0.3">
      <c r="A51" s="3">
        <v>571</v>
      </c>
      <c r="B51" s="9">
        <v>45779</v>
      </c>
      <c r="C51" s="3">
        <v>2</v>
      </c>
      <c r="D51" s="3" t="s">
        <v>2</v>
      </c>
      <c r="E51" s="3">
        <v>10</v>
      </c>
      <c r="F51" s="3">
        <v>363566</v>
      </c>
      <c r="G51" s="1">
        <v>0</v>
      </c>
      <c r="H51" s="3" t="s">
        <v>38</v>
      </c>
      <c r="I51" s="3">
        <v>3635660</v>
      </c>
    </row>
    <row r="52" spans="1:9" x14ac:dyDescent="0.3">
      <c r="A52" s="3">
        <v>583</v>
      </c>
      <c r="B52" s="9">
        <v>45824</v>
      </c>
      <c r="C52" s="3">
        <v>2</v>
      </c>
      <c r="D52" s="3" t="s">
        <v>3</v>
      </c>
      <c r="E52" s="3">
        <v>12</v>
      </c>
      <c r="F52" s="3">
        <v>398052</v>
      </c>
      <c r="G52" s="1">
        <v>5</v>
      </c>
      <c r="H52" s="3" t="s">
        <v>39</v>
      </c>
      <c r="I52" s="3">
        <v>4537792.8</v>
      </c>
    </row>
    <row r="53" spans="1:9" x14ac:dyDescent="0.3">
      <c r="A53" s="3">
        <v>590</v>
      </c>
      <c r="B53" s="9">
        <v>45810</v>
      </c>
      <c r="C53" s="3">
        <v>5</v>
      </c>
      <c r="D53" s="3" t="s">
        <v>2</v>
      </c>
      <c r="E53" s="3">
        <v>10</v>
      </c>
      <c r="F53" s="3">
        <v>414658</v>
      </c>
      <c r="G53" s="1">
        <v>5</v>
      </c>
      <c r="H53" s="3" t="s">
        <v>39</v>
      </c>
      <c r="I53" s="3">
        <v>3939251</v>
      </c>
    </row>
    <row r="54" spans="1:9" x14ac:dyDescent="0.3">
      <c r="A54" s="3">
        <v>602</v>
      </c>
      <c r="B54" s="9">
        <v>45813</v>
      </c>
      <c r="C54" s="3">
        <v>2</v>
      </c>
      <c r="D54" s="3" t="s">
        <v>4</v>
      </c>
      <c r="E54" s="3">
        <v>10</v>
      </c>
      <c r="F54" s="3">
        <v>363367</v>
      </c>
      <c r="G54" s="1">
        <v>5</v>
      </c>
      <c r="H54" s="3" t="s">
        <v>39</v>
      </c>
      <c r="I54" s="3">
        <v>3451986.5</v>
      </c>
    </row>
    <row r="55" spans="1:9" x14ac:dyDescent="0.3">
      <c r="A55" s="3">
        <v>611</v>
      </c>
      <c r="B55" s="9">
        <v>45812</v>
      </c>
      <c r="C55" s="3">
        <v>1</v>
      </c>
      <c r="D55" s="3" t="s">
        <v>5</v>
      </c>
      <c r="E55" s="3">
        <v>8</v>
      </c>
      <c r="F55" s="3">
        <v>754197</v>
      </c>
      <c r="G55" s="1">
        <v>5</v>
      </c>
      <c r="H55" s="3" t="s">
        <v>39</v>
      </c>
      <c r="I55" s="3">
        <v>5731897.2000000002</v>
      </c>
    </row>
    <row r="56" spans="1:9" x14ac:dyDescent="0.3">
      <c r="A56" s="3">
        <v>633</v>
      </c>
      <c r="B56" s="9">
        <v>45839</v>
      </c>
      <c r="C56" s="3">
        <v>1</v>
      </c>
      <c r="D56" s="3" t="s">
        <v>6</v>
      </c>
      <c r="E56" s="3">
        <v>10</v>
      </c>
      <c r="F56" s="3">
        <v>728911</v>
      </c>
      <c r="G56" s="1">
        <v>5</v>
      </c>
      <c r="H56" s="3" t="s">
        <v>40</v>
      </c>
      <c r="I56" s="3">
        <v>6924654.5</v>
      </c>
    </row>
    <row r="57" spans="1:9" x14ac:dyDescent="0.3">
      <c r="A57" s="3">
        <v>647</v>
      </c>
      <c r="B57" s="9">
        <v>45862</v>
      </c>
      <c r="C57" s="3">
        <v>5</v>
      </c>
      <c r="D57" s="3" t="s">
        <v>2</v>
      </c>
      <c r="E57" s="3">
        <v>12</v>
      </c>
      <c r="F57" s="3">
        <v>399054</v>
      </c>
      <c r="G57" s="1">
        <v>0</v>
      </c>
      <c r="H57" s="3" t="s">
        <v>40</v>
      </c>
      <c r="I57" s="3">
        <v>4788648</v>
      </c>
    </row>
    <row r="58" spans="1:9" x14ac:dyDescent="0.3">
      <c r="A58" s="3">
        <v>658</v>
      </c>
      <c r="B58" s="9">
        <v>45875</v>
      </c>
      <c r="C58" s="3">
        <v>5</v>
      </c>
      <c r="D58" s="3" t="s">
        <v>4</v>
      </c>
      <c r="E58" s="3">
        <v>8</v>
      </c>
      <c r="F58" s="3">
        <v>407386</v>
      </c>
      <c r="G58" s="1">
        <v>0</v>
      </c>
      <c r="H58" s="3" t="s">
        <v>41</v>
      </c>
      <c r="I58" s="3">
        <v>3259088</v>
      </c>
    </row>
    <row r="59" spans="1:9" x14ac:dyDescent="0.3">
      <c r="A59" s="3">
        <v>680</v>
      </c>
      <c r="B59" s="9">
        <v>45897</v>
      </c>
      <c r="C59" s="3">
        <v>1</v>
      </c>
      <c r="D59" s="3" t="s">
        <v>3</v>
      </c>
      <c r="E59" s="3">
        <v>5</v>
      </c>
      <c r="F59" s="3">
        <v>735821</v>
      </c>
      <c r="G59" s="1">
        <v>10</v>
      </c>
      <c r="H59" s="3" t="s">
        <v>41</v>
      </c>
      <c r="I59" s="3">
        <v>3311194.5</v>
      </c>
    </row>
    <row r="60" spans="1:9" x14ac:dyDescent="0.3">
      <c r="A60" s="3">
        <v>685</v>
      </c>
      <c r="B60" s="9">
        <v>45897</v>
      </c>
      <c r="C60" s="3">
        <v>2</v>
      </c>
      <c r="D60" s="3" t="s">
        <v>3</v>
      </c>
      <c r="E60" s="3">
        <v>12</v>
      </c>
      <c r="F60" s="3">
        <v>380258</v>
      </c>
      <c r="G60" s="1">
        <v>0</v>
      </c>
      <c r="H60" s="3" t="s">
        <v>41</v>
      </c>
      <c r="I60" s="3">
        <v>4563096</v>
      </c>
    </row>
    <row r="61" spans="1:9" x14ac:dyDescent="0.3">
      <c r="A61" s="3">
        <v>704</v>
      </c>
      <c r="B61" s="9">
        <v>45913</v>
      </c>
      <c r="C61" s="3">
        <v>1</v>
      </c>
      <c r="D61" s="3" t="s">
        <v>5</v>
      </c>
      <c r="E61" s="3">
        <v>5</v>
      </c>
      <c r="F61" s="3">
        <v>731957</v>
      </c>
      <c r="G61" s="1">
        <v>0</v>
      </c>
      <c r="H61" s="3" t="s">
        <v>42</v>
      </c>
      <c r="I61" s="3">
        <v>3659785</v>
      </c>
    </row>
    <row r="62" spans="1:9" x14ac:dyDescent="0.3">
      <c r="A62" s="3">
        <v>728</v>
      </c>
      <c r="B62" s="9">
        <v>45951</v>
      </c>
      <c r="C62" s="3">
        <v>1</v>
      </c>
      <c r="D62" s="3" t="s">
        <v>4</v>
      </c>
      <c r="E62" s="3">
        <v>9</v>
      </c>
      <c r="F62" s="3">
        <v>725174</v>
      </c>
      <c r="G62" s="1">
        <v>0</v>
      </c>
      <c r="H62" s="3" t="s">
        <v>43</v>
      </c>
      <c r="I62" s="3">
        <v>6526566</v>
      </c>
    </row>
    <row r="63" spans="1:9" x14ac:dyDescent="0.3">
      <c r="A63" s="3">
        <v>734</v>
      </c>
      <c r="B63" s="9">
        <v>45934</v>
      </c>
      <c r="C63" s="3">
        <v>5</v>
      </c>
      <c r="D63" s="3" t="s">
        <v>4</v>
      </c>
      <c r="E63" s="3">
        <v>10</v>
      </c>
      <c r="F63" s="3">
        <v>428431</v>
      </c>
      <c r="G63" s="1">
        <v>0</v>
      </c>
      <c r="H63" s="3" t="s">
        <v>43</v>
      </c>
      <c r="I63" s="3">
        <v>4284310</v>
      </c>
    </row>
    <row r="64" spans="1:9" x14ac:dyDescent="0.3">
      <c r="A64" s="3">
        <v>747</v>
      </c>
      <c r="B64" s="9">
        <v>45951</v>
      </c>
      <c r="C64" s="3">
        <v>5</v>
      </c>
      <c r="D64" s="3" t="s">
        <v>5</v>
      </c>
      <c r="E64" s="3">
        <v>12</v>
      </c>
      <c r="F64" s="3">
        <v>434728</v>
      </c>
      <c r="G64" s="1">
        <v>10</v>
      </c>
      <c r="H64" s="3" t="s">
        <v>43</v>
      </c>
      <c r="I64" s="3">
        <v>4695062.4000000004</v>
      </c>
    </row>
    <row r="65" spans="1:9" x14ac:dyDescent="0.3">
      <c r="A65" s="3">
        <v>751</v>
      </c>
      <c r="B65" s="9">
        <v>45944</v>
      </c>
      <c r="C65" s="3">
        <v>1</v>
      </c>
      <c r="D65" s="3" t="s">
        <v>6</v>
      </c>
      <c r="E65" s="3">
        <v>8</v>
      </c>
      <c r="F65" s="3">
        <v>781530</v>
      </c>
      <c r="G65" s="1">
        <v>0</v>
      </c>
      <c r="H65" s="3" t="s">
        <v>43</v>
      </c>
      <c r="I65" s="3">
        <v>6252240</v>
      </c>
    </row>
    <row r="66" spans="1:9" x14ac:dyDescent="0.3">
      <c r="A66" s="3">
        <v>761</v>
      </c>
      <c r="B66" s="9">
        <v>45944</v>
      </c>
      <c r="C66" s="3">
        <v>2</v>
      </c>
      <c r="D66" s="3" t="s">
        <v>5</v>
      </c>
      <c r="E66" s="3">
        <v>12</v>
      </c>
      <c r="F66" s="3">
        <v>385828</v>
      </c>
      <c r="G66" s="1">
        <v>0</v>
      </c>
      <c r="H66" s="3" t="s">
        <v>43</v>
      </c>
      <c r="I66" s="3">
        <v>4629936</v>
      </c>
    </row>
    <row r="67" spans="1:9" x14ac:dyDescent="0.3">
      <c r="A67" s="3">
        <v>762</v>
      </c>
      <c r="B67" s="9">
        <v>45950</v>
      </c>
      <c r="C67" s="3">
        <v>1</v>
      </c>
      <c r="D67" s="3" t="s">
        <v>4</v>
      </c>
      <c r="E67" s="3">
        <v>9</v>
      </c>
      <c r="F67" s="3">
        <v>712513</v>
      </c>
      <c r="G67" s="1">
        <v>0</v>
      </c>
      <c r="H67" s="3" t="s">
        <v>43</v>
      </c>
      <c r="I67" s="3">
        <v>6412617</v>
      </c>
    </row>
    <row r="68" spans="1:9" x14ac:dyDescent="0.3">
      <c r="A68" s="3">
        <v>781</v>
      </c>
      <c r="B68" s="9">
        <v>45967</v>
      </c>
      <c r="C68" s="3">
        <v>5</v>
      </c>
      <c r="D68" s="3" t="s">
        <v>3</v>
      </c>
      <c r="E68" s="3">
        <v>11</v>
      </c>
      <c r="F68" s="3">
        <v>404572</v>
      </c>
      <c r="G68" s="1">
        <v>10</v>
      </c>
      <c r="H68" s="3" t="s">
        <v>44</v>
      </c>
      <c r="I68" s="3">
        <v>4005262.8</v>
      </c>
    </row>
    <row r="69" spans="1:9" x14ac:dyDescent="0.3">
      <c r="A69" s="3">
        <v>788</v>
      </c>
      <c r="B69" s="9">
        <v>45985</v>
      </c>
      <c r="C69" s="3">
        <v>1</v>
      </c>
      <c r="D69" s="3" t="s">
        <v>3</v>
      </c>
      <c r="E69" s="3">
        <v>8</v>
      </c>
      <c r="F69" s="3">
        <v>720186</v>
      </c>
      <c r="G69" s="1">
        <v>15</v>
      </c>
      <c r="H69" s="3" t="s">
        <v>44</v>
      </c>
      <c r="I69" s="3">
        <v>4897264.8</v>
      </c>
    </row>
    <row r="70" spans="1:9" x14ac:dyDescent="0.3">
      <c r="A70" s="3">
        <v>807</v>
      </c>
      <c r="B70" s="9">
        <v>45995</v>
      </c>
      <c r="C70" s="3">
        <v>1</v>
      </c>
      <c r="D70" s="3" t="s">
        <v>3</v>
      </c>
      <c r="E70" s="3">
        <v>11</v>
      </c>
      <c r="F70" s="3">
        <v>726938</v>
      </c>
      <c r="G70" s="1">
        <v>5</v>
      </c>
      <c r="H70" s="3" t="s">
        <v>45</v>
      </c>
      <c r="I70" s="3">
        <v>7596502.0999999996</v>
      </c>
    </row>
    <row r="71" spans="1:9" x14ac:dyDescent="0.3">
      <c r="A71" s="3">
        <v>812</v>
      </c>
      <c r="B71" s="9">
        <v>45999</v>
      </c>
      <c r="C71" s="3">
        <v>1</v>
      </c>
      <c r="D71" s="3" t="s">
        <v>6</v>
      </c>
      <c r="E71" s="3">
        <v>5</v>
      </c>
      <c r="F71" s="3">
        <v>754356</v>
      </c>
      <c r="G71" s="1">
        <v>5</v>
      </c>
      <c r="H71" s="3" t="s">
        <v>45</v>
      </c>
      <c r="I71" s="3">
        <v>3583191</v>
      </c>
    </row>
    <row r="72" spans="1:9" x14ac:dyDescent="0.3">
      <c r="A72" s="3">
        <v>821</v>
      </c>
      <c r="B72" s="9">
        <v>45994</v>
      </c>
      <c r="C72" s="3">
        <v>1</v>
      </c>
      <c r="D72" s="3" t="s">
        <v>2</v>
      </c>
      <c r="E72" s="3">
        <v>10</v>
      </c>
      <c r="F72" s="3">
        <v>757249</v>
      </c>
      <c r="G72" s="1">
        <v>5</v>
      </c>
      <c r="H72" s="3" t="s">
        <v>45</v>
      </c>
      <c r="I72" s="3">
        <v>7193865.5</v>
      </c>
    </row>
    <row r="73" spans="1:9" x14ac:dyDescent="0.3">
      <c r="A73" s="3">
        <v>822</v>
      </c>
      <c r="B73" s="9">
        <v>45998</v>
      </c>
      <c r="C73" s="3">
        <v>5</v>
      </c>
      <c r="D73" s="3" t="s">
        <v>6</v>
      </c>
      <c r="E73" s="3">
        <v>12</v>
      </c>
      <c r="F73" s="3">
        <v>430140</v>
      </c>
      <c r="G73" s="1">
        <v>10</v>
      </c>
      <c r="H73" s="3" t="s">
        <v>45</v>
      </c>
      <c r="I73" s="3">
        <v>4645512</v>
      </c>
    </row>
    <row r="74" spans="1:9" x14ac:dyDescent="0.3">
      <c r="A74" s="3">
        <v>825</v>
      </c>
      <c r="B74" s="9">
        <v>46013</v>
      </c>
      <c r="C74" s="3">
        <v>1</v>
      </c>
      <c r="D74" s="3" t="s">
        <v>4</v>
      </c>
      <c r="E74" s="3">
        <v>8</v>
      </c>
      <c r="F74" s="3">
        <v>760851</v>
      </c>
      <c r="G74" s="1">
        <v>0</v>
      </c>
      <c r="H74" s="3" t="s">
        <v>45</v>
      </c>
      <c r="I74" s="3">
        <v>6086808</v>
      </c>
    </row>
    <row r="75" spans="1:9" x14ac:dyDescent="0.3">
      <c r="A75" s="3">
        <v>855</v>
      </c>
      <c r="B75" s="9">
        <v>46008</v>
      </c>
      <c r="C75" s="3">
        <v>1</v>
      </c>
      <c r="D75" s="3" t="s">
        <v>6</v>
      </c>
      <c r="E75" s="3">
        <v>10</v>
      </c>
      <c r="F75" s="3">
        <v>756926</v>
      </c>
      <c r="G75" s="1">
        <v>0</v>
      </c>
      <c r="H75" s="3" t="s">
        <v>45</v>
      </c>
      <c r="I75" s="3">
        <v>7569260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showGridLines="0" zoomScale="120" zoomScaleNormal="120" workbookViewId="0">
      <selection activeCell="D10" sqref="D10"/>
    </sheetView>
  </sheetViews>
  <sheetFormatPr baseColWidth="10" defaultColWidth="8.85546875" defaultRowHeight="17.25" x14ac:dyDescent="0.3"/>
  <cols>
    <col min="1" max="1" width="17.42578125" style="3" bestFit="1" customWidth="1"/>
    <col min="2" max="2" width="10.7109375" style="3" customWidth="1"/>
    <col min="3" max="16384" width="8.85546875" style="3"/>
  </cols>
  <sheetData>
    <row r="1" spans="1:4" ht="27.75" customHeight="1" x14ac:dyDescent="0.3">
      <c r="A1" s="2" t="s">
        <v>50</v>
      </c>
      <c r="B1" s="5"/>
      <c r="C1" s="5"/>
      <c r="D1" s="5"/>
    </row>
    <row r="3" spans="1:4" s="4" customFormat="1" ht="24" customHeight="1" x14ac:dyDescent="0.25">
      <c r="A3" s="4" t="s">
        <v>10</v>
      </c>
      <c r="B3" s="10" t="s">
        <v>49</v>
      </c>
    </row>
    <row r="4" spans="1:4" x14ac:dyDescent="0.3">
      <c r="A4" s="3" t="s">
        <v>14</v>
      </c>
      <c r="B4" s="6">
        <v>0.72409001330753842</v>
      </c>
    </row>
    <row r="5" spans="1:4" x14ac:dyDescent="0.3">
      <c r="A5" s="3" t="s">
        <v>13</v>
      </c>
      <c r="B5" s="6">
        <v>0.22974698588555401</v>
      </c>
    </row>
    <row r="6" spans="1:4" x14ac:dyDescent="0.3">
      <c r="A6" s="3" t="s">
        <v>11</v>
      </c>
      <c r="B6" s="6">
        <v>0.67090860374657213</v>
      </c>
    </row>
    <row r="7" spans="1:4" x14ac:dyDescent="0.3">
      <c r="A7" s="3" t="s">
        <v>12</v>
      </c>
      <c r="B7" s="6">
        <v>0.56566636604891174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showGridLines="0" zoomScale="120" zoomScaleNormal="120" workbookViewId="0">
      <selection activeCell="K22" sqref="K22"/>
    </sheetView>
  </sheetViews>
  <sheetFormatPr baseColWidth="10" defaultColWidth="9.140625" defaultRowHeight="17.25" x14ac:dyDescent="0.3"/>
  <cols>
    <col min="1" max="1" width="17.42578125" style="3" bestFit="1" customWidth="1"/>
    <col min="2" max="2" width="10" style="3" customWidth="1"/>
    <col min="3" max="16384" width="9.140625" style="3"/>
  </cols>
  <sheetData>
    <row r="1" spans="1:4" ht="24" customHeight="1" x14ac:dyDescent="0.3">
      <c r="A1" s="2" t="s">
        <v>51</v>
      </c>
      <c r="B1" s="5"/>
      <c r="C1" s="5"/>
      <c r="D1" s="11"/>
    </row>
    <row r="3" spans="1:4" s="4" customFormat="1" ht="21.75" customHeight="1" x14ac:dyDescent="0.25">
      <c r="A3" s="4" t="s">
        <v>10</v>
      </c>
      <c r="B3" s="4" t="s">
        <v>49</v>
      </c>
    </row>
    <row r="4" spans="1:4" x14ac:dyDescent="0.3">
      <c r="A4" s="3" t="s">
        <v>14</v>
      </c>
      <c r="B4" s="6">
        <v>0.59155548133258407</v>
      </c>
    </row>
    <row r="5" spans="1:4" x14ac:dyDescent="0.3">
      <c r="A5" s="3" t="s">
        <v>13</v>
      </c>
      <c r="B5" s="6">
        <v>0.94157200955406861</v>
      </c>
    </row>
    <row r="6" spans="1:4" x14ac:dyDescent="0.3">
      <c r="A6" s="3" t="s">
        <v>11</v>
      </c>
      <c r="B6" s="6">
        <v>0.57049844806439987</v>
      </c>
    </row>
    <row r="7" spans="1:4" x14ac:dyDescent="0.3">
      <c r="A7" s="3" t="s">
        <v>12</v>
      </c>
      <c r="B7" s="6">
        <v>0.65251075766783728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CA par pays</vt:lpstr>
      <vt:lpstr>Tendance CA par pays</vt:lpstr>
      <vt:lpstr>Volatilite par categorie</vt:lpstr>
      <vt:lpstr>Ventes suspectes</vt:lpstr>
      <vt:lpstr>Correlation sectorielle prix</vt:lpstr>
      <vt:lpstr>Correlation sectorielle qte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Ingrid Alou</cp:lastModifiedBy>
  <dcterms:created xsi:type="dcterms:W3CDTF">2026-09-06T04:52:26Z</dcterms:created>
  <dcterms:modified xsi:type="dcterms:W3CDTF">2026-09-29T21:47:34Z</dcterms:modified>
</cp:coreProperties>
</file>