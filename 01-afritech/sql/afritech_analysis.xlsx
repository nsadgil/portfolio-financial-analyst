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slicers/slicer2.xml" ContentType="application/vnd.ms-excel.slicer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New\Desktop\portfolio-financial-analyst\01-sql\"/>
    </mc:Choice>
  </mc:AlternateContent>
  <xr:revisionPtr revIDLastSave="0" documentId="13_ncr:1_{67C5832F-BD9A-49F5-9D58-489ABEE36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 par pays" sheetId="1" r:id="rId1"/>
    <sheet name="TOP pays" sheetId="2" r:id="rId2"/>
    <sheet name="CA par categorie" sheetId="3" r:id="rId3"/>
    <sheet name="Ecart budgetaire" sheetId="4" r:id="rId4"/>
    <sheet name="CA produits premium" sheetId="5" r:id="rId5"/>
    <sheet name="Evolution mensuelle CA" sheetId="6" r:id="rId6"/>
    <sheet name="Repartition tranches CA" sheetId="7" r:id="rId7"/>
    <sheet name="Produits prix superieur moy" sheetId="8" r:id="rId8"/>
  </sheets>
  <definedNames>
    <definedName name="_xlchart.v1.0" hidden="1">'CA produits premium'!$A$4:$A$8</definedName>
    <definedName name="_xlchart.v1.1" hidden="1">'CA produits premium'!$B$3</definedName>
    <definedName name="_xlchart.v1.2" hidden="1">'CA produits premium'!$B$4:$B$8</definedName>
    <definedName name="Segment_Annee">#N/A</definedName>
    <definedName name="Segment_pay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</x15:slicerCaches>
    </ext>
  </extLst>
</workbook>
</file>

<file path=xl/calcChain.xml><?xml version="1.0" encoding="utf-8"?>
<calcChain xmlns="http://schemas.openxmlformats.org/spreadsheetml/2006/main">
  <c r="H6" i="6" l="1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5" i="6"/>
</calcChain>
</file>

<file path=xl/sharedStrings.xml><?xml version="1.0" encoding="utf-8"?>
<sst xmlns="http://schemas.openxmlformats.org/spreadsheetml/2006/main" count="323" uniqueCount="67">
  <si>
    <t>CA</t>
  </si>
  <si>
    <t>pays</t>
  </si>
  <si>
    <t>Cote d'Ivoire</t>
  </si>
  <si>
    <t>Benin</t>
  </si>
  <si>
    <t>Ghana</t>
  </si>
  <si>
    <t>Togo</t>
  </si>
  <si>
    <t>Senegal</t>
  </si>
  <si>
    <t>ca_total</t>
  </si>
  <si>
    <t>rang</t>
  </si>
  <si>
    <t>categorie</t>
  </si>
  <si>
    <t>Informatique</t>
  </si>
  <si>
    <t>Telephonie</t>
  </si>
  <si>
    <t>Audio</t>
  </si>
  <si>
    <t>Accessoires</t>
  </si>
  <si>
    <t>mois</t>
  </si>
  <si>
    <t>objectif_ca</t>
  </si>
  <si>
    <t>ecart_pct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</si>
  <si>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</si>
  <si>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</si>
  <si>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</si>
  <si>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</si>
  <si>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</si>
  <si>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</si>
  <si>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</si>
  <si>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</si>
  <si>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</si>
  <si>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</si>
  <si>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</si>
  <si>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</si>
  <si>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</si>
  <si>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</si>
  <si>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</si>
  <si>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</si>
  <si>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</si>
  <si>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</si>
  <si>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</si>
  <si>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</si>
  <si>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</si>
  <si>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</si>
  <si>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</si>
  <si>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</si>
  <si>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nom_produit</t>
  </si>
  <si>
    <t>Ordinateur Portable Pro</t>
  </si>
  <si>
    <t>Smartphone Premium</t>
  </si>
  <si>
    <t>Ordinateur Portable Essentiel</t>
  </si>
  <si>
    <t>Smartphone Essentiel</t>
  </si>
  <si>
    <t>Tablette 10 pouces</t>
  </si>
  <si>
    <t>ca_precedent</t>
  </si>
  <si>
    <t>variation_absolue</t>
  </si>
  <si>
    <t>variation_pct</t>
  </si>
  <si>
    <t>ca_cumule</t>
  </si>
  <si>
    <t>moyenne_mobile_3m</t>
  </si>
  <si>
    <t>count</t>
  </si>
  <si>
    <t>classement_CA</t>
  </si>
  <si>
    <t>Grosse vente</t>
  </si>
  <si>
    <t>Vente moyenne</t>
  </si>
  <si>
    <t>Petite vente</t>
  </si>
  <si>
    <t>prix_vente_base</t>
  </si>
  <si>
    <t>CHIFFRE D'AFFAIRES PAR PAYS</t>
  </si>
  <si>
    <t>TOP PAYS</t>
  </si>
  <si>
    <t>ANALYSE ECART BUDGETAIRE</t>
  </si>
  <si>
    <t>PERF SKU PREMIUM</t>
  </si>
  <si>
    <t xml:space="preserve">VARIANCE MENSUELLE CA </t>
  </si>
  <si>
    <t xml:space="preserve">TRANCHE DE CA </t>
  </si>
  <si>
    <t>PRIX SUP/MOYENNE</t>
  </si>
  <si>
    <t>annee</t>
  </si>
  <si>
    <t>CA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</si>
</sst>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_-;\-* #,##0.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0"/>
      <name val="Century Gothic"/>
      <family val="2"/>
    </font>
    <font>
      <b/>
      <sz val="16"/>
      <color theme="0"/>
      <name val="Century Gothic"/>
      <family val="2"/>
    </font>
    <font>
      <b/>
      <sz val="14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">
    <xf numFmtId="0" fontId="0" fillId="0" borderId="0" xfId="0"/>
    <xf numFmtId="41" fontId="2" fillId="0" borderId="0" xfId="1" applyFont="1"/>
    <xf numFmtId="41" fontId="2" fillId="0" borderId="0" xfId="1" applyFont="1" applyAlignment="1">
      <alignment horizontal="center"/>
    </xf>
    <xf numFmtId="41" fontId="2" fillId="0" borderId="0" xfId="1" applyFont="1" applyAlignment="1">
      <alignment horizontal="center" vertical="center"/>
    </xf>
    <xf numFmtId="41" fontId="4" fillId="5" borderId="0" xfId="1" applyFont="1" applyFill="1" applyAlignment="1">
      <alignment horizontal="centerContinuous" vertical="center"/>
    </xf>
    <xf numFmtId="164" fontId="2" fillId="0" borderId="0" xfId="1" applyNumberFormat="1" applyFont="1"/>
    <xf numFmtId="41" fontId="4" fillId="0" borderId="0" xfId="1" applyFont="1" applyFill="1" applyAlignment="1">
      <alignment horizontal="centerContinuous" vertical="center"/>
    </xf>
    <xf numFmtId="41" fontId="3" fillId="2" borderId="0" xfId="1" applyFont="1" applyFill="1" applyBorder="1" applyAlignment="1">
      <alignment horizontal="center" vertical="center"/>
    </xf>
    <xf numFmtId="41" fontId="3" fillId="2" borderId="2" xfId="1" applyFont="1" applyFill="1" applyBorder="1" applyAlignment="1">
      <alignment horizontal="center" vertical="center"/>
    </xf>
    <xf numFmtId="41" fontId="2" fillId="3" borderId="3" xfId="1" applyFont="1" applyFill="1" applyBorder="1"/>
    <xf numFmtId="41" fontId="2" fillId="3" borderId="4" xfId="1" applyFont="1" applyFill="1" applyBorder="1"/>
    <xf numFmtId="164" fontId="2" fillId="3" borderId="4" xfId="1" applyNumberFormat="1" applyFont="1" applyFill="1" applyBorder="1"/>
    <xf numFmtId="41" fontId="2" fillId="4" borderId="5" xfId="1" applyFont="1" applyFill="1" applyBorder="1"/>
    <xf numFmtId="41" fontId="2" fillId="4" borderId="1" xfId="1" applyFont="1" applyFill="1" applyBorder="1"/>
    <xf numFmtId="164" fontId="2" fillId="4" borderId="1" xfId="1" applyNumberFormat="1" applyFont="1" applyFill="1" applyBorder="1"/>
    <xf numFmtId="41" fontId="2" fillId="3" borderId="5" xfId="1" applyFont="1" applyFill="1" applyBorder="1"/>
    <xf numFmtId="41" fontId="2" fillId="3" borderId="1" xfId="1" applyFont="1" applyFill="1" applyBorder="1"/>
    <xf numFmtId="164" fontId="2" fillId="3" borderId="1" xfId="1" applyNumberFormat="1" applyFont="1" applyFill="1" applyBorder="1"/>
    <xf numFmtId="41" fontId="5" fillId="5" borderId="0" xfId="1" applyFont="1" applyFill="1" applyAlignment="1">
      <alignment horizontal="centerContinuous" vertical="center"/>
    </xf>
    <xf numFmtId="41" fontId="2" fillId="5" borderId="0" xfId="1" applyFont="1" applyFill="1" applyAlignment="1">
      <alignment horizontal="centerContinuous"/>
    </xf>
    <xf numFmtId="41" fontId="4" fillId="5" borderId="0" xfId="1" applyFont="1" applyFill="1" applyAlignment="1">
      <alignment horizontal="left" vertical="center"/>
    </xf>
  </cellXfs>
  <cellStyles count="2">
    <cellStyle name="Milliers [0]" xfId="1" builtinId="6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_-;\-* #,##0.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_-;\-* #,##0.0_-;_-* &quot;-&quot;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3" formatCode="_-* #,##0_-;\-* #,##0_-;_-* &quot;-&quot;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3" formatCode="_-* #,##0_-;\-* #,##0_-;_-* &quot;-&quot;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3" formatCode="_-* #,##0_-;\-* #,##0_-;_-* &quot;-&quot;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3" formatCode="_-* #,##0_-;\-* #,##0_-;_-* &quot;-&quot;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numFmt numFmtId="33" formatCode="_-* #,##0_-;\-* #,##0_-;_-* &quot;-&quot;_-;_-@_-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1200"/>
              <a:t> Chiffre d'Affaires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 par pays'!$B$3</c:f>
              <c:strCache>
                <c:ptCount val="1"/>
                <c:pt idx="0">
                  <c:v> CA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 par pays'!$A$4:$A$8</c:f>
              <c:strCache>
                <c:ptCount val="5"/>
                <c:pt idx="0">
                  <c:v> Cote d'Ivoire </c:v>
                </c:pt>
                <c:pt idx="1">
                  <c:v> Benin </c:v>
                </c:pt>
                <c:pt idx="2">
                  <c:v> Ghana </c:v>
                </c:pt>
                <c:pt idx="3">
                  <c:v> Togo </c:v>
                </c:pt>
                <c:pt idx="4">
                  <c:v> Senegal </c:v>
                </c:pt>
              </c:strCache>
            </c:strRef>
          </c:cat>
          <c:val>
            <c:numRef>
              <c:f>'CA par pays'!$B$4:$B$8</c:f>
              <c:numCache>
                <c:formatCode>_(* #,##0_);_(* \(#,##0\);_(* "-"_);_(@_)</c:formatCode>
                <c:ptCount val="5"/>
                <c:pt idx="0">
                  <c:v>180662017.94999999</c:v>
                </c:pt>
                <c:pt idx="1">
                  <c:v>173838740.59999999</c:v>
                </c:pt>
                <c:pt idx="2">
                  <c:v>162010516.34999999</c:v>
                </c:pt>
                <c:pt idx="3">
                  <c:v>159111083.84999999</c:v>
                </c:pt>
                <c:pt idx="4">
                  <c:v>146930324.40000001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1-4F7B-A9F9-6AF23C356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228480"/>
        <c:axId val="406231360"/>
      </c:barChart>
      <c:catAx>
        <c:axId val="40622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406231360"/>
        <c:crosses val="autoZero"/>
        <c:auto val="1"/>
        <c:lblAlgn val="ctr"/>
        <c:lblOffset val="100"/>
        <c:noMultiLvlLbl val="0"/>
      </c:catAx>
      <c:valAx>
        <c:axId val="4062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40622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1200"/>
              <a:t> Proportion</a:t>
            </a:r>
            <a:r>
              <a:rPr lang="en-US" sz="1200" baseline="0"/>
              <a:t> de </a:t>
            </a:r>
            <a:r>
              <a:rPr lang="en-US" sz="1200"/>
              <a:t>CA</a:t>
            </a:r>
            <a:r>
              <a:rPr lang="en-US" sz="1200" baseline="0"/>
              <a:t> par Categorie</a:t>
            </a:r>
            <a:endParaRPr lang="en-US" sz="1200"/>
          </a:p>
        </c:rich>
      </c:tx>
      <c:layout>
        <c:manualLayout>
          <c:xMode val="edge"/>
          <c:yMode val="edge"/>
          <c:x val="0.57583841863517071"/>
          <c:y val="2.3304200025008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0863366872332567"/>
          <c:w val="0.86458333333333337"/>
          <c:h val="0.67597646302011427"/>
        </c:manualLayout>
      </c:layout>
      <c:pie3DChart>
        <c:varyColors val="1"/>
        <c:ser>
          <c:idx val="0"/>
          <c:order val="0"/>
          <c:tx>
            <c:strRef>
              <c:f>'CA par categorie'!$B$3</c:f>
              <c:strCache>
                <c:ptCount val="1"/>
                <c:pt idx="0">
                  <c:v> CA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A5-45AD-AC67-06DB7C8D9835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1A5-45AD-AC67-06DB7C8D9835}"/>
              </c:ext>
            </c:extLst>
          </c:dPt>
          <c:dPt>
            <c:idx val="2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1A5-45AD-AC67-06DB7C8D983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A5-45AD-AC67-06DB7C8D9835}"/>
              </c:ext>
            </c:extLst>
          </c:dPt>
          <c:dLbls>
            <c:dLbl>
              <c:idx val="0"/>
              <c:layout>
                <c:manualLayout>
                  <c:x val="-0.05"/>
                  <c:y val="-0.38618388612870574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40763"/>
                        <a:gd name="adj2" fmla="val 7585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1A5-45AD-AC67-06DB7C8D9835}"/>
                </c:ext>
              </c:extLst>
            </c:dLbl>
            <c:dLbl>
              <c:idx val="1"/>
              <c:layout>
                <c:manualLayout>
                  <c:x val="3.7500000000000006E-2"/>
                  <c:y val="-0.11319182869289655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9528"/>
                        <a:gd name="adj2" fmla="val 7991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1A5-45AD-AC67-06DB7C8D9835}"/>
                </c:ext>
              </c:extLst>
            </c:dLbl>
            <c:dLbl>
              <c:idx val="2"/>
              <c:layout>
                <c:manualLayout>
                  <c:x val="3.645841535433067E-2"/>
                  <c:y val="-2.9962542889296138E-2"/>
                </c:manualLayout>
              </c:layout>
              <c:spPr>
                <a:xfrm>
                  <a:off x="1827596" y="200911"/>
                  <a:ext cx="728907" cy="415883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4965"/>
                        <a:gd name="adj2" fmla="val 7940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957152230971127"/>
                      <c:h val="0.109019354544436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1A5-45AD-AC67-06DB7C8D9835}"/>
                </c:ext>
              </c:extLst>
            </c:dLbl>
            <c:dLbl>
              <c:idx val="3"/>
              <c:layout>
                <c:manualLayout>
                  <c:x val="7.4999999999999997E-2"/>
                  <c:y val="-1.3316685728576054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22903"/>
                        <a:gd name="adj2" fmla="val 6685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1A5-45AD-AC67-06DB7C8D983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BJ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'CA par categorie'!$A$4:$A$7</c:f>
              <c:strCache>
                <c:ptCount val="4"/>
                <c:pt idx="0">
                  <c:v> Informatique </c:v>
                </c:pt>
                <c:pt idx="1">
                  <c:v> Telephonie </c:v>
                </c:pt>
                <c:pt idx="2">
                  <c:v> Audio </c:v>
                </c:pt>
                <c:pt idx="3">
                  <c:v> Accessoires </c:v>
                </c:pt>
              </c:strCache>
            </c:strRef>
          </c:cat>
          <c:val>
            <c:numRef>
              <c:f>'CA par categorie'!$B$4:$B$7</c:f>
              <c:numCache>
                <c:formatCode>_(* #,##0_);_(* \(#,##0\);_(* "-"_);_(@_)</c:formatCode>
                <c:ptCount val="4"/>
                <c:pt idx="0">
                  <c:v>504324948.35000002</c:v>
                </c:pt>
                <c:pt idx="1">
                  <c:v>235412322.80000001</c:v>
                </c:pt>
                <c:pt idx="2">
                  <c:v>59468940.850000001</c:v>
                </c:pt>
                <c:pt idx="3">
                  <c:v>23346471.149999999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5-45AD-AC67-06DB7C8D9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fr-FR"/>
              <a:t>Ecart Budgetaire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'Ecart budgetaire'!$C$3</c:f>
              <c:strCache>
                <c:ptCount val="1"/>
                <c:pt idx="0">
                  <c:v> CA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'Ecart budgetaire'!$A$4:$B$122</c:f>
              <c:multiLvlStrCache>
                <c:ptCount val="119"/>
                <c:lvl>
                  <c:pt idx="0">
                    <c:v> 2024-01 </c:v>
                  </c:pt>
                  <c:pt idx="1">
                    <c:v> 2024-02 </c:v>
                  </c:pt>
                  <c:pt idx="2">
                    <c:v> 2024-03 </c:v>
                  </c:pt>
                  <c:pt idx="3">
                    <c:v> 2024-04 </c:v>
                  </c:pt>
                  <c:pt idx="4">
                    <c:v> 2024-05 </c:v>
                  </c:pt>
                  <c:pt idx="5">
                    <c:v> 2024-06 </c:v>
                  </c:pt>
                  <c:pt idx="6">
                    <c:v> 2024-07 </c:v>
                  </c:pt>
                  <c:pt idx="7">
                    <c:v> 2024-08 </c:v>
                  </c:pt>
                  <c:pt idx="8">
                    <c:v> 2024-09 </c:v>
                  </c:pt>
                  <c:pt idx="9">
                    <c:v> 2024-10 </c:v>
                  </c:pt>
                  <c:pt idx="10">
                    <c:v> 2024-11 </c:v>
                  </c:pt>
                  <c:pt idx="11">
                    <c:v> 2024-12 </c:v>
                  </c:pt>
                  <c:pt idx="12">
                    <c:v> 2025-01 </c:v>
                  </c:pt>
                  <c:pt idx="13">
                    <c:v> 2025-02 </c:v>
                  </c:pt>
                  <c:pt idx="14">
                    <c:v> 2025-03 </c:v>
                  </c:pt>
                  <c:pt idx="15">
                    <c:v> 2025-04 </c:v>
                  </c:pt>
                  <c:pt idx="16">
                    <c:v> 2025-05 </c:v>
                  </c:pt>
                  <c:pt idx="17">
                    <c:v> 2025-06 </c:v>
                  </c:pt>
                  <c:pt idx="18">
                    <c:v> 2025-07 </c:v>
                  </c:pt>
                  <c:pt idx="19">
                    <c:v> 2025-08 </c:v>
                  </c:pt>
                  <c:pt idx="20">
                    <c:v> 2025-09 </c:v>
                  </c:pt>
                  <c:pt idx="21">
                    <c:v> 2025-10 </c:v>
                  </c:pt>
                  <c:pt idx="22">
                    <c:v> 2025-11 </c:v>
                  </c:pt>
                  <c:pt idx="23">
                    <c:v> 2025-12 </c:v>
                  </c:pt>
                  <c:pt idx="24">
                    <c:v> 2024-01 </c:v>
                  </c:pt>
                  <c:pt idx="25">
                    <c:v> 2024-02 </c:v>
                  </c:pt>
                  <c:pt idx="26">
                    <c:v> 2024-03 </c:v>
                  </c:pt>
                  <c:pt idx="27">
                    <c:v> 2024-04 </c:v>
                  </c:pt>
                  <c:pt idx="28">
                    <c:v> 2024-05 </c:v>
                  </c:pt>
                  <c:pt idx="29">
                    <c:v> 2024-06 </c:v>
                  </c:pt>
                  <c:pt idx="30">
                    <c:v> 2024-07 </c:v>
                  </c:pt>
                  <c:pt idx="31">
                    <c:v> 2024-08 </c:v>
                  </c:pt>
                  <c:pt idx="32">
                    <c:v> 2024-09 </c:v>
                  </c:pt>
                  <c:pt idx="33">
                    <c:v> 2024-10 </c:v>
                  </c:pt>
                  <c:pt idx="34">
                    <c:v> 2024-11 </c:v>
                  </c:pt>
                  <c:pt idx="35">
                    <c:v> 2024-12 </c:v>
                  </c:pt>
                  <c:pt idx="36">
                    <c:v> 2025-01 </c:v>
                  </c:pt>
                  <c:pt idx="37">
                    <c:v> 2025-02 </c:v>
                  </c:pt>
                  <c:pt idx="38">
                    <c:v> 2025-03 </c:v>
                  </c:pt>
                  <c:pt idx="39">
                    <c:v> 2025-04 </c:v>
                  </c:pt>
                  <c:pt idx="40">
                    <c:v> 2025-05 </c:v>
                  </c:pt>
                  <c:pt idx="41">
                    <c:v> 2025-06 </c:v>
                  </c:pt>
                  <c:pt idx="42">
                    <c:v> 2025-07 </c:v>
                  </c:pt>
                  <c:pt idx="43">
                    <c:v> 2025-08 </c:v>
                  </c:pt>
                  <c:pt idx="44">
                    <c:v> 2025-09 </c:v>
                  </c:pt>
                  <c:pt idx="45">
                    <c:v> 2025-10 </c:v>
                  </c:pt>
                  <c:pt idx="46">
                    <c:v> 2025-11 </c:v>
                  </c:pt>
                  <c:pt idx="47">
                    <c:v> 2025-12 </c:v>
                  </c:pt>
                  <c:pt idx="48">
                    <c:v> 2024-01 </c:v>
                  </c:pt>
                  <c:pt idx="49">
                    <c:v> 2024-02 </c:v>
                  </c:pt>
                  <c:pt idx="50">
                    <c:v> 2024-03 </c:v>
                  </c:pt>
                  <c:pt idx="51">
                    <c:v> 2024-04 </c:v>
                  </c:pt>
                  <c:pt idx="52">
                    <c:v> 2024-05 </c:v>
                  </c:pt>
                  <c:pt idx="53">
                    <c:v> 2024-06 </c:v>
                  </c:pt>
                  <c:pt idx="54">
                    <c:v> 2024-07 </c:v>
                  </c:pt>
                  <c:pt idx="55">
                    <c:v> 2024-08 </c:v>
                  </c:pt>
                  <c:pt idx="56">
                    <c:v> 2024-09 </c:v>
                  </c:pt>
                  <c:pt idx="57">
                    <c:v> 2024-10 </c:v>
                  </c:pt>
                  <c:pt idx="58">
                    <c:v> 2024-11 </c:v>
                  </c:pt>
                  <c:pt idx="59">
                    <c:v> 2024-12 </c:v>
                  </c:pt>
                  <c:pt idx="60">
                    <c:v> 2025-01 </c:v>
                  </c:pt>
                  <c:pt idx="61">
                    <c:v> 2025-02 </c:v>
                  </c:pt>
                  <c:pt idx="62">
                    <c:v> 2025-03 </c:v>
                  </c:pt>
                  <c:pt idx="63">
                    <c:v> 2025-04 </c:v>
                  </c:pt>
                  <c:pt idx="64">
                    <c:v> 2025-05 </c:v>
                  </c:pt>
                  <c:pt idx="65">
                    <c:v> 2025-06 </c:v>
                  </c:pt>
                  <c:pt idx="66">
                    <c:v> 2025-07 </c:v>
                  </c:pt>
                  <c:pt idx="67">
                    <c:v> 2025-08 </c:v>
                  </c:pt>
                  <c:pt idx="68">
                    <c:v> 2025-09 </c:v>
                  </c:pt>
                  <c:pt idx="69">
                    <c:v> 2025-10 </c:v>
                  </c:pt>
                  <c:pt idx="70">
                    <c:v> 2025-11 </c:v>
                  </c:pt>
                  <c:pt idx="71">
                    <c:v> 2025-12 </c:v>
                  </c:pt>
                  <c:pt idx="72">
                    <c:v> 2024-01 </c:v>
                  </c:pt>
                  <c:pt idx="73">
                    <c:v> 2024-02 </c:v>
                  </c:pt>
                  <c:pt idx="74">
                    <c:v> 2024-03 </c:v>
                  </c:pt>
                  <c:pt idx="75">
                    <c:v> 2024-04 </c:v>
                  </c:pt>
                  <c:pt idx="76">
                    <c:v> 2024-05 </c:v>
                  </c:pt>
                  <c:pt idx="77">
                    <c:v> 2024-06 </c:v>
                  </c:pt>
                  <c:pt idx="78">
                    <c:v> 2024-07 </c:v>
                  </c:pt>
                  <c:pt idx="79">
                    <c:v> 2024-08 </c:v>
                  </c:pt>
                  <c:pt idx="80">
                    <c:v> 2024-09 </c:v>
                  </c:pt>
                  <c:pt idx="81">
                    <c:v> 2024-10 </c:v>
                  </c:pt>
                  <c:pt idx="82">
                    <c:v> 2024-11 </c:v>
                  </c:pt>
                  <c:pt idx="83">
                    <c:v> 2024-12 </c:v>
                  </c:pt>
                  <c:pt idx="84">
                    <c:v> 2025-01 </c:v>
                  </c:pt>
                  <c:pt idx="85">
                    <c:v> 2025-02 </c:v>
                  </c:pt>
                  <c:pt idx="86">
                    <c:v> 2025-03 </c:v>
                  </c:pt>
                  <c:pt idx="87">
                    <c:v> 2025-04 </c:v>
                  </c:pt>
                  <c:pt idx="88">
                    <c:v> 2025-05 </c:v>
                  </c:pt>
                  <c:pt idx="89">
                    <c:v> 2025-06 </c:v>
                  </c:pt>
                  <c:pt idx="90">
                    <c:v> 2025-07 </c:v>
                  </c:pt>
                  <c:pt idx="91">
                    <c:v> 2025-08 </c:v>
                  </c:pt>
                  <c:pt idx="92">
                    <c:v> 2025-09 </c:v>
                  </c:pt>
                  <c:pt idx="93">
                    <c:v> 2025-10 </c:v>
                  </c:pt>
                  <c:pt idx="94">
                    <c:v> 2025-11 </c:v>
                  </c:pt>
                  <c:pt idx="95">
                    <c:v> 2025-12 </c:v>
                  </c:pt>
                  <c:pt idx="96">
                    <c:v> 2024-01 </c:v>
                  </c:pt>
                  <c:pt idx="97">
                    <c:v> 2024-02 </c:v>
                  </c:pt>
                  <c:pt idx="98">
                    <c:v> 2024-03 </c:v>
                  </c:pt>
                  <c:pt idx="99">
                    <c:v> 2024-04 </c:v>
                  </c:pt>
                  <c:pt idx="100">
                    <c:v> 2024-05 </c:v>
                  </c:pt>
                  <c:pt idx="101">
                    <c:v> 2024-06 </c:v>
                  </c:pt>
                  <c:pt idx="102">
                    <c:v> 2024-07 </c:v>
                  </c:pt>
                  <c:pt idx="103">
                    <c:v> 2024-08 </c:v>
                  </c:pt>
                  <c:pt idx="104">
                    <c:v> 2024-10 </c:v>
                  </c:pt>
                  <c:pt idx="105">
                    <c:v> 2024-11 </c:v>
                  </c:pt>
                  <c:pt idx="106">
                    <c:v> 2024-12 </c:v>
                  </c:pt>
                  <c:pt idx="107">
                    <c:v> 2025-01 </c:v>
                  </c:pt>
                  <c:pt idx="108">
                    <c:v> 2025-02 </c:v>
                  </c:pt>
                  <c:pt idx="109">
                    <c:v> 2025-03 </c:v>
                  </c:pt>
                  <c:pt idx="110">
                    <c:v> 2025-04 </c:v>
                  </c:pt>
                  <c:pt idx="111">
                    <c:v> 2025-05 </c:v>
                  </c:pt>
                  <c:pt idx="112">
                    <c:v> 2025-06 </c:v>
                  </c:pt>
                  <c:pt idx="113">
                    <c:v> 2025-07 </c:v>
                  </c:pt>
                  <c:pt idx="114">
                    <c:v> 2025-08 </c:v>
                  </c:pt>
                  <c:pt idx="115">
                    <c:v> 2025-09 </c:v>
                  </c:pt>
                  <c:pt idx="116">
                    <c:v> 2025-10 </c:v>
                  </c:pt>
                  <c:pt idx="117">
                    <c:v> 2025-11 </c:v>
                  </c:pt>
                  <c:pt idx="118">
                    <c:v> 2025-12 </c:v>
                  </c:pt>
                </c:lvl>
                <c:lvl>
                  <c:pt idx="0">
                    <c:v> Benin </c:v>
                  </c:pt>
                  <c:pt idx="1">
                    <c:v> Benin </c:v>
                  </c:pt>
                  <c:pt idx="2">
                    <c:v> Benin </c:v>
                  </c:pt>
                  <c:pt idx="3">
                    <c:v> Benin </c:v>
                  </c:pt>
                  <c:pt idx="4">
                    <c:v> Benin </c:v>
                  </c:pt>
                  <c:pt idx="5">
                    <c:v> Benin </c:v>
                  </c:pt>
                  <c:pt idx="6">
                    <c:v> Benin </c:v>
                  </c:pt>
                  <c:pt idx="7">
                    <c:v> Benin </c:v>
                  </c:pt>
                  <c:pt idx="8">
                    <c:v> Benin </c:v>
                  </c:pt>
                  <c:pt idx="9">
                    <c:v> Benin </c:v>
                  </c:pt>
                  <c:pt idx="10">
                    <c:v> Benin </c:v>
                  </c:pt>
                  <c:pt idx="11">
                    <c:v> Benin </c:v>
                  </c:pt>
                  <c:pt idx="12">
                    <c:v> Benin </c:v>
                  </c:pt>
                  <c:pt idx="13">
                    <c:v> Benin </c:v>
                  </c:pt>
                  <c:pt idx="14">
                    <c:v> Benin </c:v>
                  </c:pt>
                  <c:pt idx="15">
                    <c:v> Benin </c:v>
                  </c:pt>
                  <c:pt idx="16">
                    <c:v> Benin </c:v>
                  </c:pt>
                  <c:pt idx="17">
                    <c:v> Benin </c:v>
                  </c:pt>
                  <c:pt idx="18">
                    <c:v> Benin </c:v>
                  </c:pt>
                  <c:pt idx="19">
                    <c:v> Benin </c:v>
                  </c:pt>
                  <c:pt idx="20">
                    <c:v> Benin </c:v>
                  </c:pt>
                  <c:pt idx="21">
                    <c:v> Benin </c:v>
                  </c:pt>
                  <c:pt idx="22">
                    <c:v> Benin </c:v>
                  </c:pt>
                  <c:pt idx="23">
                    <c:v> Benin </c:v>
                  </c:pt>
                  <c:pt idx="24">
                    <c:v> Cote d'Ivoire </c:v>
                  </c:pt>
                  <c:pt idx="25">
                    <c:v> Cote d'Ivoire </c:v>
                  </c:pt>
                  <c:pt idx="26">
                    <c:v> Cote d'Ivoire </c:v>
                  </c:pt>
                  <c:pt idx="27">
                    <c:v> Cote d'Ivoire </c:v>
                  </c:pt>
                  <c:pt idx="28">
                    <c:v> Cote d'Ivoire </c:v>
                  </c:pt>
                  <c:pt idx="29">
                    <c:v> Cote d'Ivoire </c:v>
                  </c:pt>
                  <c:pt idx="30">
                    <c:v> Cote d'Ivoire </c:v>
                  </c:pt>
                  <c:pt idx="31">
                    <c:v> Cote d'Ivoire </c:v>
                  </c:pt>
                  <c:pt idx="32">
                    <c:v> Cote d'Ivoire </c:v>
                  </c:pt>
                  <c:pt idx="33">
                    <c:v> Cote d'Ivoire </c:v>
                  </c:pt>
                  <c:pt idx="34">
                    <c:v> Cote d'Ivoire </c:v>
                  </c:pt>
                  <c:pt idx="35">
                    <c:v> Cote d'Ivoire </c:v>
                  </c:pt>
                  <c:pt idx="36">
                    <c:v> Cote d'Ivoire </c:v>
                  </c:pt>
                  <c:pt idx="37">
                    <c:v> Cote d'Ivoire </c:v>
                  </c:pt>
                  <c:pt idx="38">
                    <c:v> Cote d'Ivoire </c:v>
                  </c:pt>
                  <c:pt idx="39">
                    <c:v> Cote d'Ivoire </c:v>
                  </c:pt>
                  <c:pt idx="40">
                    <c:v> Cote d'Ivoire </c:v>
                  </c:pt>
                  <c:pt idx="41">
                    <c:v> Cote d'Ivoire </c:v>
                  </c:pt>
                  <c:pt idx="42">
                    <c:v> Cote d'Ivoire </c:v>
                  </c:pt>
                  <c:pt idx="43">
                    <c:v> Cote d'Ivoire </c:v>
                  </c:pt>
                  <c:pt idx="44">
                    <c:v> Cote d'Ivoire </c:v>
                  </c:pt>
                  <c:pt idx="45">
                    <c:v> Cote d'Ivoire </c:v>
                  </c:pt>
                  <c:pt idx="46">
                    <c:v> Cote d'Ivoire </c:v>
                  </c:pt>
                  <c:pt idx="47">
                    <c:v> Cote d'Ivoire </c:v>
                  </c:pt>
                  <c:pt idx="48">
                    <c:v> Ghana </c:v>
                  </c:pt>
                  <c:pt idx="49">
                    <c:v> Ghana </c:v>
                  </c:pt>
                  <c:pt idx="50">
                    <c:v> Ghana </c:v>
                  </c:pt>
                  <c:pt idx="51">
                    <c:v> Ghana </c:v>
                  </c:pt>
                  <c:pt idx="52">
                    <c:v> Ghana </c:v>
                  </c:pt>
                  <c:pt idx="53">
                    <c:v> Ghana </c:v>
                  </c:pt>
                  <c:pt idx="54">
                    <c:v> Ghana </c:v>
                  </c:pt>
                  <c:pt idx="55">
                    <c:v> Ghana </c:v>
                  </c:pt>
                  <c:pt idx="56">
                    <c:v> Ghana </c:v>
                  </c:pt>
                  <c:pt idx="57">
                    <c:v> Ghana </c:v>
                  </c:pt>
                  <c:pt idx="58">
                    <c:v> Ghana </c:v>
                  </c:pt>
                  <c:pt idx="59">
                    <c:v> Ghana </c:v>
                  </c:pt>
                  <c:pt idx="60">
                    <c:v> Ghana </c:v>
                  </c:pt>
                  <c:pt idx="61">
                    <c:v> Ghana </c:v>
                  </c:pt>
                  <c:pt idx="62">
                    <c:v> Ghana </c:v>
                  </c:pt>
                  <c:pt idx="63">
                    <c:v> Ghana </c:v>
                  </c:pt>
                  <c:pt idx="64">
                    <c:v> Ghana </c:v>
                  </c:pt>
                  <c:pt idx="65">
                    <c:v> Ghana </c:v>
                  </c:pt>
                  <c:pt idx="66">
                    <c:v> Ghana </c:v>
                  </c:pt>
                  <c:pt idx="67">
                    <c:v> Ghana </c:v>
                  </c:pt>
                  <c:pt idx="68">
                    <c:v> Ghana </c:v>
                  </c:pt>
                  <c:pt idx="69">
                    <c:v> Ghana </c:v>
                  </c:pt>
                  <c:pt idx="70">
                    <c:v> Ghana </c:v>
                  </c:pt>
                  <c:pt idx="71">
                    <c:v> Ghana </c:v>
                  </c:pt>
                  <c:pt idx="72">
                    <c:v> Senegal </c:v>
                  </c:pt>
                  <c:pt idx="73">
                    <c:v> Senegal </c:v>
                  </c:pt>
                  <c:pt idx="74">
                    <c:v> Senegal </c:v>
                  </c:pt>
                  <c:pt idx="75">
                    <c:v> Senegal </c:v>
                  </c:pt>
                  <c:pt idx="76">
                    <c:v> Senegal </c:v>
                  </c:pt>
                  <c:pt idx="77">
                    <c:v> Senegal </c:v>
                  </c:pt>
                  <c:pt idx="78">
                    <c:v> Senegal </c:v>
                  </c:pt>
                  <c:pt idx="79">
                    <c:v> Senegal </c:v>
                  </c:pt>
                  <c:pt idx="80">
                    <c:v> Senegal </c:v>
                  </c:pt>
                  <c:pt idx="81">
                    <c:v> Senegal </c:v>
                  </c:pt>
                  <c:pt idx="82">
                    <c:v> Senegal </c:v>
                  </c:pt>
                  <c:pt idx="83">
                    <c:v> Senegal </c:v>
                  </c:pt>
                  <c:pt idx="84">
                    <c:v> Senegal </c:v>
                  </c:pt>
                  <c:pt idx="85">
                    <c:v> Senegal </c:v>
                  </c:pt>
                  <c:pt idx="86">
                    <c:v> Senegal </c:v>
                  </c:pt>
                  <c:pt idx="87">
                    <c:v> Senegal </c:v>
                  </c:pt>
                  <c:pt idx="88">
                    <c:v> Senegal </c:v>
                  </c:pt>
                  <c:pt idx="89">
                    <c:v> Senegal </c:v>
                  </c:pt>
                  <c:pt idx="90">
                    <c:v> Senegal </c:v>
                  </c:pt>
                  <c:pt idx="91">
                    <c:v> Senegal </c:v>
                  </c:pt>
                  <c:pt idx="92">
                    <c:v> Senegal </c:v>
                  </c:pt>
                  <c:pt idx="93">
                    <c:v> Senegal </c:v>
                  </c:pt>
                  <c:pt idx="94">
                    <c:v> Senegal </c:v>
                  </c:pt>
                  <c:pt idx="95">
                    <c:v> Senegal </c:v>
                  </c:pt>
                  <c:pt idx="96">
                    <c:v> Togo </c:v>
                  </c:pt>
                  <c:pt idx="97">
                    <c:v> Togo </c:v>
                  </c:pt>
                  <c:pt idx="98">
                    <c:v> Togo </c:v>
                  </c:pt>
                  <c:pt idx="99">
                    <c:v> Togo </c:v>
                  </c:pt>
                  <c:pt idx="100">
                    <c:v> Togo </c:v>
                  </c:pt>
                  <c:pt idx="101">
                    <c:v> Togo </c:v>
                  </c:pt>
                  <c:pt idx="102">
                    <c:v> Togo </c:v>
                  </c:pt>
                  <c:pt idx="103">
                    <c:v> Togo </c:v>
                  </c:pt>
                  <c:pt idx="104">
                    <c:v> Togo </c:v>
                  </c:pt>
                  <c:pt idx="105">
                    <c:v> Togo </c:v>
                  </c:pt>
                  <c:pt idx="106">
                    <c:v> Togo </c:v>
                  </c:pt>
                  <c:pt idx="107">
                    <c:v> Togo </c:v>
                  </c:pt>
                  <c:pt idx="108">
                    <c:v> Togo </c:v>
                  </c:pt>
                  <c:pt idx="109">
                    <c:v> Togo </c:v>
                  </c:pt>
                  <c:pt idx="110">
                    <c:v> Togo </c:v>
                  </c:pt>
                  <c:pt idx="111">
                    <c:v> Togo </c:v>
                  </c:pt>
                  <c:pt idx="112">
                    <c:v> Togo </c:v>
                  </c:pt>
                  <c:pt idx="113">
                    <c:v> Togo </c:v>
                  </c:pt>
                  <c:pt idx="114">
                    <c:v> Togo </c:v>
                  </c:pt>
                  <c:pt idx="115">
                    <c:v> Togo </c:v>
                  </c:pt>
                  <c:pt idx="116">
                    <c:v> Togo </c:v>
                  </c:pt>
                  <c:pt idx="117">
                    <c:v> Togo </c:v>
                  </c:pt>
                  <c:pt idx="118">
                    <c:v> Togo </c:v>
                  </c:pt>
                </c:lvl>
              </c:multiLvlStrCache>
            </c:multiLvlStrRef>
          </c:cat>
          <c:val>
            <c:numRef>
              <c:f>'Ecart budgetaire'!$C$4:$C$122</c:f>
              <c:numCache>
                <c:formatCode>_(* #,##0_);_(* \(#,##0\);_(* "-"_);_(@_)</c:formatCode>
                <c:ptCount val="119"/>
                <c:pt idx="0">
                  <c:v>9900064.4000000004</c:v>
                </c:pt>
                <c:pt idx="1">
                  <c:v>5310687</c:v>
                </c:pt>
                <c:pt idx="2">
                  <c:v>2464325.2999999998</c:v>
                </c:pt>
                <c:pt idx="3">
                  <c:v>8383525.3000000007</c:v>
                </c:pt>
                <c:pt idx="4">
                  <c:v>1367832.15</c:v>
                </c:pt>
                <c:pt idx="5">
                  <c:v>2478150.35</c:v>
                </c:pt>
                <c:pt idx="6">
                  <c:v>13402386.9</c:v>
                </c:pt>
                <c:pt idx="7">
                  <c:v>7035059</c:v>
                </c:pt>
                <c:pt idx="8">
                  <c:v>6775835.4000000004</c:v>
                </c:pt>
                <c:pt idx="9">
                  <c:v>4482580.8</c:v>
                </c:pt>
                <c:pt idx="10">
                  <c:v>11143991.449999999</c:v>
                </c:pt>
                <c:pt idx="11">
                  <c:v>9067726.1999999993</c:v>
                </c:pt>
                <c:pt idx="12">
                  <c:v>9946550.3000000007</c:v>
                </c:pt>
                <c:pt idx="13">
                  <c:v>5437557.25</c:v>
                </c:pt>
                <c:pt idx="14">
                  <c:v>6594720.4000000004</c:v>
                </c:pt>
                <c:pt idx="15">
                  <c:v>560805.19999999995</c:v>
                </c:pt>
                <c:pt idx="16">
                  <c:v>22951693.449999999</c:v>
                </c:pt>
                <c:pt idx="17">
                  <c:v>11608976.9</c:v>
                </c:pt>
                <c:pt idx="18">
                  <c:v>8866049.3000000007</c:v>
                </c:pt>
                <c:pt idx="19">
                  <c:v>2858334.2</c:v>
                </c:pt>
                <c:pt idx="20">
                  <c:v>3268926.45</c:v>
                </c:pt>
                <c:pt idx="21">
                  <c:v>4473137.9000000004</c:v>
                </c:pt>
                <c:pt idx="22">
                  <c:v>3035998.95</c:v>
                </c:pt>
                <c:pt idx="23">
                  <c:v>12423826.050000001</c:v>
                </c:pt>
                <c:pt idx="24">
                  <c:v>3286762.8</c:v>
                </c:pt>
                <c:pt idx="25">
                  <c:v>2256262.75</c:v>
                </c:pt>
                <c:pt idx="26">
                  <c:v>13366393.949999999</c:v>
                </c:pt>
                <c:pt idx="27">
                  <c:v>5181830.3</c:v>
                </c:pt>
                <c:pt idx="28">
                  <c:v>10734615.800000001</c:v>
                </c:pt>
                <c:pt idx="29">
                  <c:v>357074</c:v>
                </c:pt>
                <c:pt idx="30">
                  <c:v>3696287.5</c:v>
                </c:pt>
                <c:pt idx="31">
                  <c:v>1414070.8</c:v>
                </c:pt>
                <c:pt idx="32">
                  <c:v>9818621.8000000007</c:v>
                </c:pt>
                <c:pt idx="33">
                  <c:v>16476193.800000001</c:v>
                </c:pt>
                <c:pt idx="34">
                  <c:v>7910122.4000000004</c:v>
                </c:pt>
                <c:pt idx="35">
                  <c:v>15794177.9</c:v>
                </c:pt>
                <c:pt idx="36">
                  <c:v>3790968.3</c:v>
                </c:pt>
                <c:pt idx="37">
                  <c:v>7230813.6500000004</c:v>
                </c:pt>
                <c:pt idx="38">
                  <c:v>7024215.9500000002</c:v>
                </c:pt>
                <c:pt idx="39">
                  <c:v>9739079.3999999985</c:v>
                </c:pt>
                <c:pt idx="40">
                  <c:v>4233669.3999999994</c:v>
                </c:pt>
                <c:pt idx="41">
                  <c:v>7488656.6499999994</c:v>
                </c:pt>
                <c:pt idx="42">
                  <c:v>1845281.95</c:v>
                </c:pt>
                <c:pt idx="43">
                  <c:v>13545847.65</c:v>
                </c:pt>
                <c:pt idx="44">
                  <c:v>4990931.7</c:v>
                </c:pt>
                <c:pt idx="45">
                  <c:v>4175344.75</c:v>
                </c:pt>
                <c:pt idx="46">
                  <c:v>14591959.550000001</c:v>
                </c:pt>
                <c:pt idx="47">
                  <c:v>11712835.199999999</c:v>
                </c:pt>
                <c:pt idx="48">
                  <c:v>9398917.1999999993</c:v>
                </c:pt>
                <c:pt idx="49">
                  <c:v>10856782.050000001</c:v>
                </c:pt>
                <c:pt idx="50">
                  <c:v>1802019.1</c:v>
                </c:pt>
                <c:pt idx="51">
                  <c:v>5033065.8999999994</c:v>
                </c:pt>
                <c:pt idx="52">
                  <c:v>6377599.9000000004</c:v>
                </c:pt>
                <c:pt idx="53">
                  <c:v>8844402</c:v>
                </c:pt>
                <c:pt idx="54">
                  <c:v>11826447.550000001</c:v>
                </c:pt>
                <c:pt idx="55">
                  <c:v>7011807.25</c:v>
                </c:pt>
                <c:pt idx="56">
                  <c:v>6694365.1499999994</c:v>
                </c:pt>
                <c:pt idx="57">
                  <c:v>5057454.8499999996</c:v>
                </c:pt>
                <c:pt idx="58">
                  <c:v>4574455.8</c:v>
                </c:pt>
                <c:pt idx="59">
                  <c:v>3633686.35</c:v>
                </c:pt>
                <c:pt idx="60">
                  <c:v>8455460.1999999993</c:v>
                </c:pt>
                <c:pt idx="61">
                  <c:v>7587209.7999999998</c:v>
                </c:pt>
                <c:pt idx="62">
                  <c:v>2875876</c:v>
                </c:pt>
                <c:pt idx="63">
                  <c:v>1838277.2</c:v>
                </c:pt>
                <c:pt idx="64">
                  <c:v>1706873.4</c:v>
                </c:pt>
                <c:pt idx="65">
                  <c:v>6715896.7000000002</c:v>
                </c:pt>
                <c:pt idx="66">
                  <c:v>3368287.3</c:v>
                </c:pt>
                <c:pt idx="67">
                  <c:v>5549552.9000000004</c:v>
                </c:pt>
                <c:pt idx="68">
                  <c:v>3143494.2</c:v>
                </c:pt>
                <c:pt idx="69">
                  <c:v>21898848.800000001</c:v>
                </c:pt>
                <c:pt idx="70">
                  <c:v>4378094.2</c:v>
                </c:pt>
                <c:pt idx="71">
                  <c:v>13381642.550000001</c:v>
                </c:pt>
                <c:pt idx="72">
                  <c:v>6858102.4000000004</c:v>
                </c:pt>
                <c:pt idx="73">
                  <c:v>9840921.9000000004</c:v>
                </c:pt>
                <c:pt idx="74">
                  <c:v>4286766.1999999993</c:v>
                </c:pt>
                <c:pt idx="75">
                  <c:v>7071058.7000000002</c:v>
                </c:pt>
                <c:pt idx="76">
                  <c:v>11728527</c:v>
                </c:pt>
                <c:pt idx="77">
                  <c:v>3064498.3</c:v>
                </c:pt>
                <c:pt idx="78">
                  <c:v>6664791.2000000002</c:v>
                </c:pt>
                <c:pt idx="79">
                  <c:v>408936.75</c:v>
                </c:pt>
                <c:pt idx="80">
                  <c:v>3084523.6</c:v>
                </c:pt>
                <c:pt idx="81">
                  <c:v>25032</c:v>
                </c:pt>
                <c:pt idx="82">
                  <c:v>7122754.5</c:v>
                </c:pt>
                <c:pt idx="83">
                  <c:v>8082250.1499999994</c:v>
                </c:pt>
                <c:pt idx="84">
                  <c:v>11722022.800000001</c:v>
                </c:pt>
                <c:pt idx="85">
                  <c:v>3324752.75</c:v>
                </c:pt>
                <c:pt idx="86">
                  <c:v>6553235</c:v>
                </c:pt>
                <c:pt idx="87">
                  <c:v>4569586.3499999996</c:v>
                </c:pt>
                <c:pt idx="88">
                  <c:v>9723779.3999999985</c:v>
                </c:pt>
                <c:pt idx="89">
                  <c:v>6129367.6000000006</c:v>
                </c:pt>
                <c:pt idx="90">
                  <c:v>7553490.7999999998</c:v>
                </c:pt>
                <c:pt idx="91">
                  <c:v>2687595.95</c:v>
                </c:pt>
                <c:pt idx="92">
                  <c:v>6248585.0499999998</c:v>
                </c:pt>
                <c:pt idx="93">
                  <c:v>11218240.699999999</c:v>
                </c:pt>
                <c:pt idx="94">
                  <c:v>4186963.399999999</c:v>
                </c:pt>
                <c:pt idx="95">
                  <c:v>4774541.9000000004</c:v>
                </c:pt>
                <c:pt idx="96">
                  <c:v>2911040.1</c:v>
                </c:pt>
                <c:pt idx="97">
                  <c:v>2417110</c:v>
                </c:pt>
                <c:pt idx="98">
                  <c:v>2113607.2000000002</c:v>
                </c:pt>
                <c:pt idx="99">
                  <c:v>6228325.4000000004</c:v>
                </c:pt>
                <c:pt idx="100">
                  <c:v>5879151</c:v>
                </c:pt>
                <c:pt idx="101">
                  <c:v>659185.69999999995</c:v>
                </c:pt>
                <c:pt idx="102">
                  <c:v>1957408.4</c:v>
                </c:pt>
                <c:pt idx="103">
                  <c:v>8207535.7000000002</c:v>
                </c:pt>
                <c:pt idx="104">
                  <c:v>3182757.6</c:v>
                </c:pt>
                <c:pt idx="105">
                  <c:v>14484765</c:v>
                </c:pt>
                <c:pt idx="106">
                  <c:v>7802098.4000000004</c:v>
                </c:pt>
                <c:pt idx="107">
                  <c:v>7038492.0499999998</c:v>
                </c:pt>
                <c:pt idx="108">
                  <c:v>3937011.85</c:v>
                </c:pt>
                <c:pt idx="109">
                  <c:v>4598790.3499999996</c:v>
                </c:pt>
                <c:pt idx="110">
                  <c:v>12748691.800000001</c:v>
                </c:pt>
                <c:pt idx="111">
                  <c:v>15581081.65</c:v>
                </c:pt>
                <c:pt idx="112">
                  <c:v>3015040.2</c:v>
                </c:pt>
                <c:pt idx="113">
                  <c:v>11141788</c:v>
                </c:pt>
                <c:pt idx="114">
                  <c:v>3381684.25</c:v>
                </c:pt>
                <c:pt idx="115">
                  <c:v>7343247.2999999998</c:v>
                </c:pt>
                <c:pt idx="116">
                  <c:v>10394602.199999999</c:v>
                </c:pt>
                <c:pt idx="117">
                  <c:v>2230436.6</c:v>
                </c:pt>
                <c:pt idx="118">
                  <c:v>21857233.100000001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6-4DD3-AF35-7DDB81FEF256}"/>
            </c:ext>
          </c:extLst>
        </c:ser>
        <c:ser>
          <c:idx val="1"/>
          <c:order val="1"/>
          <c:tx>
            <c:strRef>
              <c:f>'Ecart budgetaire'!$D$3</c:f>
              <c:strCache>
                <c:ptCount val="1"/>
                <c:pt idx="0">
                  <c:v> objectif_ca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'Ecart budgetaire'!$A$4:$B$122</c:f>
              <c:multiLvlStrCache>
                <c:ptCount val="119"/>
                <c:lvl>
                  <c:pt idx="0">
                    <c:v> 2024-01 </c:v>
                  </c:pt>
                  <c:pt idx="1">
                    <c:v> 2024-02 </c:v>
                  </c:pt>
                  <c:pt idx="2">
                    <c:v> 2024-03 </c:v>
                  </c:pt>
                  <c:pt idx="3">
                    <c:v> 2024-04 </c:v>
                  </c:pt>
                  <c:pt idx="4">
                    <c:v> 2024-05 </c:v>
                  </c:pt>
                  <c:pt idx="5">
                    <c:v> 2024-06 </c:v>
                  </c:pt>
                  <c:pt idx="6">
                    <c:v> 2024-07 </c:v>
                  </c:pt>
                  <c:pt idx="7">
                    <c:v> 2024-08 </c:v>
                  </c:pt>
                  <c:pt idx="8">
                    <c:v> 2024-09 </c:v>
                  </c:pt>
                  <c:pt idx="9">
                    <c:v> 2024-10 </c:v>
                  </c:pt>
                  <c:pt idx="10">
                    <c:v> 2024-11 </c:v>
                  </c:pt>
                  <c:pt idx="11">
                    <c:v> 2024-12 </c:v>
                  </c:pt>
                  <c:pt idx="12">
                    <c:v> 2025-01 </c:v>
                  </c:pt>
                  <c:pt idx="13">
                    <c:v> 2025-02 </c:v>
                  </c:pt>
                  <c:pt idx="14">
                    <c:v> 2025-03 </c:v>
                  </c:pt>
                  <c:pt idx="15">
                    <c:v> 2025-04 </c:v>
                  </c:pt>
                  <c:pt idx="16">
                    <c:v> 2025-05 </c:v>
                  </c:pt>
                  <c:pt idx="17">
                    <c:v> 2025-06 </c:v>
                  </c:pt>
                  <c:pt idx="18">
                    <c:v> 2025-07 </c:v>
                  </c:pt>
                  <c:pt idx="19">
                    <c:v> 2025-08 </c:v>
                  </c:pt>
                  <c:pt idx="20">
                    <c:v> 2025-09 </c:v>
                  </c:pt>
                  <c:pt idx="21">
                    <c:v> 2025-10 </c:v>
                  </c:pt>
                  <c:pt idx="22">
                    <c:v> 2025-11 </c:v>
                  </c:pt>
                  <c:pt idx="23">
                    <c:v> 2025-12 </c:v>
                  </c:pt>
                  <c:pt idx="24">
                    <c:v> 2024-01 </c:v>
                  </c:pt>
                  <c:pt idx="25">
                    <c:v> 2024-02 </c:v>
                  </c:pt>
                  <c:pt idx="26">
                    <c:v> 2024-03 </c:v>
                  </c:pt>
                  <c:pt idx="27">
                    <c:v> 2024-04 </c:v>
                  </c:pt>
                  <c:pt idx="28">
                    <c:v> 2024-05 </c:v>
                  </c:pt>
                  <c:pt idx="29">
                    <c:v> 2024-06 </c:v>
                  </c:pt>
                  <c:pt idx="30">
                    <c:v> 2024-07 </c:v>
                  </c:pt>
                  <c:pt idx="31">
                    <c:v> 2024-08 </c:v>
                  </c:pt>
                  <c:pt idx="32">
                    <c:v> 2024-09 </c:v>
                  </c:pt>
                  <c:pt idx="33">
                    <c:v> 2024-10 </c:v>
                  </c:pt>
                  <c:pt idx="34">
                    <c:v> 2024-11 </c:v>
                  </c:pt>
                  <c:pt idx="35">
                    <c:v> 2024-12 </c:v>
                  </c:pt>
                  <c:pt idx="36">
                    <c:v> 2025-01 </c:v>
                  </c:pt>
                  <c:pt idx="37">
                    <c:v> 2025-02 </c:v>
                  </c:pt>
                  <c:pt idx="38">
                    <c:v> 2025-03 </c:v>
                  </c:pt>
                  <c:pt idx="39">
                    <c:v> 2025-04 </c:v>
                  </c:pt>
                  <c:pt idx="40">
                    <c:v> 2025-05 </c:v>
                  </c:pt>
                  <c:pt idx="41">
                    <c:v> 2025-06 </c:v>
                  </c:pt>
                  <c:pt idx="42">
                    <c:v> 2025-07 </c:v>
                  </c:pt>
                  <c:pt idx="43">
                    <c:v> 2025-08 </c:v>
                  </c:pt>
                  <c:pt idx="44">
                    <c:v> 2025-09 </c:v>
                  </c:pt>
                  <c:pt idx="45">
                    <c:v> 2025-10 </c:v>
                  </c:pt>
                  <c:pt idx="46">
                    <c:v> 2025-11 </c:v>
                  </c:pt>
                  <c:pt idx="47">
                    <c:v> 2025-12 </c:v>
                  </c:pt>
                  <c:pt idx="48">
                    <c:v> 2024-01 </c:v>
                  </c:pt>
                  <c:pt idx="49">
                    <c:v> 2024-02 </c:v>
                  </c:pt>
                  <c:pt idx="50">
                    <c:v> 2024-03 </c:v>
                  </c:pt>
                  <c:pt idx="51">
                    <c:v> 2024-04 </c:v>
                  </c:pt>
                  <c:pt idx="52">
                    <c:v> 2024-05 </c:v>
                  </c:pt>
                  <c:pt idx="53">
                    <c:v> 2024-06 </c:v>
                  </c:pt>
                  <c:pt idx="54">
                    <c:v> 2024-07 </c:v>
                  </c:pt>
                  <c:pt idx="55">
                    <c:v> 2024-08 </c:v>
                  </c:pt>
                  <c:pt idx="56">
                    <c:v> 2024-09 </c:v>
                  </c:pt>
                  <c:pt idx="57">
                    <c:v> 2024-10 </c:v>
                  </c:pt>
                  <c:pt idx="58">
                    <c:v> 2024-11 </c:v>
                  </c:pt>
                  <c:pt idx="59">
                    <c:v> 2024-12 </c:v>
                  </c:pt>
                  <c:pt idx="60">
                    <c:v> 2025-01 </c:v>
                  </c:pt>
                  <c:pt idx="61">
                    <c:v> 2025-02 </c:v>
                  </c:pt>
                  <c:pt idx="62">
                    <c:v> 2025-03 </c:v>
                  </c:pt>
                  <c:pt idx="63">
                    <c:v> 2025-04 </c:v>
                  </c:pt>
                  <c:pt idx="64">
                    <c:v> 2025-05 </c:v>
                  </c:pt>
                  <c:pt idx="65">
                    <c:v> 2025-06 </c:v>
                  </c:pt>
                  <c:pt idx="66">
                    <c:v> 2025-07 </c:v>
                  </c:pt>
                  <c:pt idx="67">
                    <c:v> 2025-08 </c:v>
                  </c:pt>
                  <c:pt idx="68">
                    <c:v> 2025-09 </c:v>
                  </c:pt>
                  <c:pt idx="69">
                    <c:v> 2025-10 </c:v>
                  </c:pt>
                  <c:pt idx="70">
                    <c:v> 2025-11 </c:v>
                  </c:pt>
                  <c:pt idx="71">
                    <c:v> 2025-12 </c:v>
                  </c:pt>
                  <c:pt idx="72">
                    <c:v> 2024-01 </c:v>
                  </c:pt>
                  <c:pt idx="73">
                    <c:v> 2024-02 </c:v>
                  </c:pt>
                  <c:pt idx="74">
                    <c:v> 2024-03 </c:v>
                  </c:pt>
                  <c:pt idx="75">
                    <c:v> 2024-04 </c:v>
                  </c:pt>
                  <c:pt idx="76">
                    <c:v> 2024-05 </c:v>
                  </c:pt>
                  <c:pt idx="77">
                    <c:v> 2024-06 </c:v>
                  </c:pt>
                  <c:pt idx="78">
                    <c:v> 2024-07 </c:v>
                  </c:pt>
                  <c:pt idx="79">
                    <c:v> 2024-08 </c:v>
                  </c:pt>
                  <c:pt idx="80">
                    <c:v> 2024-09 </c:v>
                  </c:pt>
                  <c:pt idx="81">
                    <c:v> 2024-10 </c:v>
                  </c:pt>
                  <c:pt idx="82">
                    <c:v> 2024-11 </c:v>
                  </c:pt>
                  <c:pt idx="83">
                    <c:v> 2024-12 </c:v>
                  </c:pt>
                  <c:pt idx="84">
                    <c:v> 2025-01 </c:v>
                  </c:pt>
                  <c:pt idx="85">
                    <c:v> 2025-02 </c:v>
                  </c:pt>
                  <c:pt idx="86">
                    <c:v> 2025-03 </c:v>
                  </c:pt>
                  <c:pt idx="87">
                    <c:v> 2025-04 </c:v>
                  </c:pt>
                  <c:pt idx="88">
                    <c:v> 2025-05 </c:v>
                  </c:pt>
                  <c:pt idx="89">
                    <c:v> 2025-06 </c:v>
                  </c:pt>
                  <c:pt idx="90">
                    <c:v> 2025-07 </c:v>
                  </c:pt>
                  <c:pt idx="91">
                    <c:v> 2025-08 </c:v>
                  </c:pt>
                  <c:pt idx="92">
                    <c:v> 2025-09 </c:v>
                  </c:pt>
                  <c:pt idx="93">
                    <c:v> 2025-10 </c:v>
                  </c:pt>
                  <c:pt idx="94">
                    <c:v> 2025-11 </c:v>
                  </c:pt>
                  <c:pt idx="95">
                    <c:v> 2025-12 </c:v>
                  </c:pt>
                  <c:pt idx="96">
                    <c:v> 2024-01 </c:v>
                  </c:pt>
                  <c:pt idx="97">
                    <c:v> 2024-02 </c:v>
                  </c:pt>
                  <c:pt idx="98">
                    <c:v> 2024-03 </c:v>
                  </c:pt>
                  <c:pt idx="99">
                    <c:v> 2024-04 </c:v>
                  </c:pt>
                  <c:pt idx="100">
                    <c:v> 2024-05 </c:v>
                  </c:pt>
                  <c:pt idx="101">
                    <c:v> 2024-06 </c:v>
                  </c:pt>
                  <c:pt idx="102">
                    <c:v> 2024-07 </c:v>
                  </c:pt>
                  <c:pt idx="103">
                    <c:v> 2024-08 </c:v>
                  </c:pt>
                  <c:pt idx="104">
                    <c:v> 2024-10 </c:v>
                  </c:pt>
                  <c:pt idx="105">
                    <c:v> 2024-11 </c:v>
                  </c:pt>
                  <c:pt idx="106">
                    <c:v> 2024-12 </c:v>
                  </c:pt>
                  <c:pt idx="107">
                    <c:v> 2025-01 </c:v>
                  </c:pt>
                  <c:pt idx="108">
                    <c:v> 2025-02 </c:v>
                  </c:pt>
                  <c:pt idx="109">
                    <c:v> 2025-03 </c:v>
                  </c:pt>
                  <c:pt idx="110">
                    <c:v> 2025-04 </c:v>
                  </c:pt>
                  <c:pt idx="111">
                    <c:v> 2025-05 </c:v>
                  </c:pt>
                  <c:pt idx="112">
                    <c:v> 2025-06 </c:v>
                  </c:pt>
                  <c:pt idx="113">
                    <c:v> 2025-07 </c:v>
                  </c:pt>
                  <c:pt idx="114">
                    <c:v> 2025-08 </c:v>
                  </c:pt>
                  <c:pt idx="115">
                    <c:v> 2025-09 </c:v>
                  </c:pt>
                  <c:pt idx="116">
                    <c:v> 2025-10 </c:v>
                  </c:pt>
                  <c:pt idx="117">
                    <c:v> 2025-11 </c:v>
                  </c:pt>
                  <c:pt idx="118">
                    <c:v> 2025-12 </c:v>
                  </c:pt>
                </c:lvl>
                <c:lvl>
                  <c:pt idx="0">
                    <c:v> Benin </c:v>
                  </c:pt>
                  <c:pt idx="1">
                    <c:v> Benin </c:v>
                  </c:pt>
                  <c:pt idx="2">
                    <c:v> Benin </c:v>
                  </c:pt>
                  <c:pt idx="3">
                    <c:v> Benin </c:v>
                  </c:pt>
                  <c:pt idx="4">
                    <c:v> Benin </c:v>
                  </c:pt>
                  <c:pt idx="5">
                    <c:v> Benin </c:v>
                  </c:pt>
                  <c:pt idx="6">
                    <c:v> Benin </c:v>
                  </c:pt>
                  <c:pt idx="7">
                    <c:v> Benin </c:v>
                  </c:pt>
                  <c:pt idx="8">
                    <c:v> Benin </c:v>
                  </c:pt>
                  <c:pt idx="9">
                    <c:v> Benin </c:v>
                  </c:pt>
                  <c:pt idx="10">
                    <c:v> Benin </c:v>
                  </c:pt>
                  <c:pt idx="11">
                    <c:v> Benin </c:v>
                  </c:pt>
                  <c:pt idx="12">
                    <c:v> Benin </c:v>
                  </c:pt>
                  <c:pt idx="13">
                    <c:v> Benin </c:v>
                  </c:pt>
                  <c:pt idx="14">
                    <c:v> Benin </c:v>
                  </c:pt>
                  <c:pt idx="15">
                    <c:v> Benin </c:v>
                  </c:pt>
                  <c:pt idx="16">
                    <c:v> Benin </c:v>
                  </c:pt>
                  <c:pt idx="17">
                    <c:v> Benin </c:v>
                  </c:pt>
                  <c:pt idx="18">
                    <c:v> Benin </c:v>
                  </c:pt>
                  <c:pt idx="19">
                    <c:v> Benin </c:v>
                  </c:pt>
                  <c:pt idx="20">
                    <c:v> Benin </c:v>
                  </c:pt>
                  <c:pt idx="21">
                    <c:v> Benin </c:v>
                  </c:pt>
                  <c:pt idx="22">
                    <c:v> Benin </c:v>
                  </c:pt>
                  <c:pt idx="23">
                    <c:v> Benin </c:v>
                  </c:pt>
                  <c:pt idx="24">
                    <c:v> Cote d'Ivoire </c:v>
                  </c:pt>
                  <c:pt idx="25">
                    <c:v> Cote d'Ivoire </c:v>
                  </c:pt>
                  <c:pt idx="26">
                    <c:v> Cote d'Ivoire </c:v>
                  </c:pt>
                  <c:pt idx="27">
                    <c:v> Cote d'Ivoire </c:v>
                  </c:pt>
                  <c:pt idx="28">
                    <c:v> Cote d'Ivoire </c:v>
                  </c:pt>
                  <c:pt idx="29">
                    <c:v> Cote d'Ivoire </c:v>
                  </c:pt>
                  <c:pt idx="30">
                    <c:v> Cote d'Ivoire </c:v>
                  </c:pt>
                  <c:pt idx="31">
                    <c:v> Cote d'Ivoire </c:v>
                  </c:pt>
                  <c:pt idx="32">
                    <c:v> Cote d'Ivoire </c:v>
                  </c:pt>
                  <c:pt idx="33">
                    <c:v> Cote d'Ivoire </c:v>
                  </c:pt>
                  <c:pt idx="34">
                    <c:v> Cote d'Ivoire </c:v>
                  </c:pt>
                  <c:pt idx="35">
                    <c:v> Cote d'Ivoire </c:v>
                  </c:pt>
                  <c:pt idx="36">
                    <c:v> Cote d'Ivoire </c:v>
                  </c:pt>
                  <c:pt idx="37">
                    <c:v> Cote d'Ivoire </c:v>
                  </c:pt>
                  <c:pt idx="38">
                    <c:v> Cote d'Ivoire </c:v>
                  </c:pt>
                  <c:pt idx="39">
                    <c:v> Cote d'Ivoire </c:v>
                  </c:pt>
                  <c:pt idx="40">
                    <c:v> Cote d'Ivoire </c:v>
                  </c:pt>
                  <c:pt idx="41">
                    <c:v> Cote d'Ivoire </c:v>
                  </c:pt>
                  <c:pt idx="42">
                    <c:v> Cote d'Ivoire </c:v>
                  </c:pt>
                  <c:pt idx="43">
                    <c:v> Cote d'Ivoire </c:v>
                  </c:pt>
                  <c:pt idx="44">
                    <c:v> Cote d'Ivoire </c:v>
                  </c:pt>
                  <c:pt idx="45">
                    <c:v> Cote d'Ivoire </c:v>
                  </c:pt>
                  <c:pt idx="46">
                    <c:v> Cote d'Ivoire </c:v>
                  </c:pt>
                  <c:pt idx="47">
                    <c:v> Cote d'Ivoire </c:v>
                  </c:pt>
                  <c:pt idx="48">
                    <c:v> Ghana </c:v>
                  </c:pt>
                  <c:pt idx="49">
                    <c:v> Ghana </c:v>
                  </c:pt>
                  <c:pt idx="50">
                    <c:v> Ghana </c:v>
                  </c:pt>
                  <c:pt idx="51">
                    <c:v> Ghana </c:v>
                  </c:pt>
                  <c:pt idx="52">
                    <c:v> Ghana </c:v>
                  </c:pt>
                  <c:pt idx="53">
                    <c:v> Ghana </c:v>
                  </c:pt>
                  <c:pt idx="54">
                    <c:v> Ghana </c:v>
                  </c:pt>
                  <c:pt idx="55">
                    <c:v> Ghana </c:v>
                  </c:pt>
                  <c:pt idx="56">
                    <c:v> Ghana </c:v>
                  </c:pt>
                  <c:pt idx="57">
                    <c:v> Ghana </c:v>
                  </c:pt>
                  <c:pt idx="58">
                    <c:v> Ghana </c:v>
                  </c:pt>
                  <c:pt idx="59">
                    <c:v> Ghana </c:v>
                  </c:pt>
                  <c:pt idx="60">
                    <c:v> Ghana </c:v>
                  </c:pt>
                  <c:pt idx="61">
                    <c:v> Ghana </c:v>
                  </c:pt>
                  <c:pt idx="62">
                    <c:v> Ghana </c:v>
                  </c:pt>
                  <c:pt idx="63">
                    <c:v> Ghana </c:v>
                  </c:pt>
                  <c:pt idx="64">
                    <c:v> Ghana </c:v>
                  </c:pt>
                  <c:pt idx="65">
                    <c:v> Ghana </c:v>
                  </c:pt>
                  <c:pt idx="66">
                    <c:v> Ghana </c:v>
                  </c:pt>
                  <c:pt idx="67">
                    <c:v> Ghana </c:v>
                  </c:pt>
                  <c:pt idx="68">
                    <c:v> Ghana </c:v>
                  </c:pt>
                  <c:pt idx="69">
                    <c:v> Ghana </c:v>
                  </c:pt>
                  <c:pt idx="70">
                    <c:v> Ghana </c:v>
                  </c:pt>
                  <c:pt idx="71">
                    <c:v> Ghana </c:v>
                  </c:pt>
                  <c:pt idx="72">
                    <c:v> Senegal </c:v>
                  </c:pt>
                  <c:pt idx="73">
                    <c:v> Senegal </c:v>
                  </c:pt>
                  <c:pt idx="74">
                    <c:v> Senegal </c:v>
                  </c:pt>
                  <c:pt idx="75">
                    <c:v> Senegal </c:v>
                  </c:pt>
                  <c:pt idx="76">
                    <c:v> Senegal </c:v>
                  </c:pt>
                  <c:pt idx="77">
                    <c:v> Senegal </c:v>
                  </c:pt>
                  <c:pt idx="78">
                    <c:v> Senegal </c:v>
                  </c:pt>
                  <c:pt idx="79">
                    <c:v> Senegal </c:v>
                  </c:pt>
                  <c:pt idx="80">
                    <c:v> Senegal </c:v>
                  </c:pt>
                  <c:pt idx="81">
                    <c:v> Senegal </c:v>
                  </c:pt>
                  <c:pt idx="82">
                    <c:v> Senegal </c:v>
                  </c:pt>
                  <c:pt idx="83">
                    <c:v> Senegal </c:v>
                  </c:pt>
                  <c:pt idx="84">
                    <c:v> Senegal </c:v>
                  </c:pt>
                  <c:pt idx="85">
                    <c:v> Senegal </c:v>
                  </c:pt>
                  <c:pt idx="86">
                    <c:v> Senegal </c:v>
                  </c:pt>
                  <c:pt idx="87">
                    <c:v> Senegal </c:v>
                  </c:pt>
                  <c:pt idx="88">
                    <c:v> Senegal </c:v>
                  </c:pt>
                  <c:pt idx="89">
                    <c:v> Senegal </c:v>
                  </c:pt>
                  <c:pt idx="90">
                    <c:v> Senegal </c:v>
                  </c:pt>
                  <c:pt idx="91">
                    <c:v> Senegal </c:v>
                  </c:pt>
                  <c:pt idx="92">
                    <c:v> Senegal </c:v>
                  </c:pt>
                  <c:pt idx="93">
                    <c:v> Senegal </c:v>
                  </c:pt>
                  <c:pt idx="94">
                    <c:v> Senegal </c:v>
                  </c:pt>
                  <c:pt idx="95">
                    <c:v> Senegal </c:v>
                  </c:pt>
                  <c:pt idx="96">
                    <c:v> Togo </c:v>
                  </c:pt>
                  <c:pt idx="97">
                    <c:v> Togo </c:v>
                  </c:pt>
                  <c:pt idx="98">
                    <c:v> Togo </c:v>
                  </c:pt>
                  <c:pt idx="99">
                    <c:v> Togo </c:v>
                  </c:pt>
                  <c:pt idx="100">
                    <c:v> Togo </c:v>
                  </c:pt>
                  <c:pt idx="101">
                    <c:v> Togo </c:v>
                  </c:pt>
                  <c:pt idx="102">
                    <c:v> Togo </c:v>
                  </c:pt>
                  <c:pt idx="103">
                    <c:v> Togo </c:v>
                  </c:pt>
                  <c:pt idx="104">
                    <c:v> Togo </c:v>
                  </c:pt>
                  <c:pt idx="105">
                    <c:v> Togo </c:v>
                  </c:pt>
                  <c:pt idx="106">
                    <c:v> Togo </c:v>
                  </c:pt>
                  <c:pt idx="107">
                    <c:v> Togo </c:v>
                  </c:pt>
                  <c:pt idx="108">
                    <c:v> Togo </c:v>
                  </c:pt>
                  <c:pt idx="109">
                    <c:v> Togo </c:v>
                  </c:pt>
                  <c:pt idx="110">
                    <c:v> Togo </c:v>
                  </c:pt>
                  <c:pt idx="111">
                    <c:v> Togo </c:v>
                  </c:pt>
                  <c:pt idx="112">
                    <c:v> Togo </c:v>
                  </c:pt>
                  <c:pt idx="113">
                    <c:v> Togo </c:v>
                  </c:pt>
                  <c:pt idx="114">
                    <c:v> Togo </c:v>
                  </c:pt>
                  <c:pt idx="115">
                    <c:v> Togo </c:v>
                  </c:pt>
                  <c:pt idx="116">
                    <c:v> Togo </c:v>
                  </c:pt>
                  <c:pt idx="117">
                    <c:v> Togo </c:v>
                  </c:pt>
                  <c:pt idx="118">
                    <c:v> Togo </c:v>
                  </c:pt>
                </c:lvl>
              </c:multiLvlStrCache>
            </c:multiLvlStrRef>
          </c:cat>
          <c:val>
            <c:numRef>
              <c:f>'Ecart budgetaire'!$D$4:$D$122</c:f>
              <c:numCache>
                <c:formatCode>_(* #,##0_);_(* \(#,##0\);_(* "-"_);_(@_)</c:formatCode>
                <c:ptCount val="119"/>
                <c:pt idx="0">
                  <c:v>3989739</c:v>
                </c:pt>
                <c:pt idx="1">
                  <c:v>3280466</c:v>
                </c:pt>
                <c:pt idx="2">
                  <c:v>3151680</c:v>
                </c:pt>
                <c:pt idx="3">
                  <c:v>3738958</c:v>
                </c:pt>
                <c:pt idx="4">
                  <c:v>4463790</c:v>
                </c:pt>
                <c:pt idx="5">
                  <c:v>4276469</c:v>
                </c:pt>
                <c:pt idx="6">
                  <c:v>3745685</c:v>
                </c:pt>
                <c:pt idx="7">
                  <c:v>3987609</c:v>
                </c:pt>
                <c:pt idx="8">
                  <c:v>3159960</c:v>
                </c:pt>
                <c:pt idx="9">
                  <c:v>4276002</c:v>
                </c:pt>
                <c:pt idx="10">
                  <c:v>3515824</c:v>
                </c:pt>
                <c:pt idx="11">
                  <c:v>3706436</c:v>
                </c:pt>
                <c:pt idx="12">
                  <c:v>3932731</c:v>
                </c:pt>
                <c:pt idx="13">
                  <c:v>3707382</c:v>
                </c:pt>
                <c:pt idx="14">
                  <c:v>4246353</c:v>
                </c:pt>
                <c:pt idx="15">
                  <c:v>4271195</c:v>
                </c:pt>
                <c:pt idx="16">
                  <c:v>4040227</c:v>
                </c:pt>
                <c:pt idx="17">
                  <c:v>3273397</c:v>
                </c:pt>
                <c:pt idx="18">
                  <c:v>4452959</c:v>
                </c:pt>
                <c:pt idx="19">
                  <c:v>3230448</c:v>
                </c:pt>
                <c:pt idx="20">
                  <c:v>4340795</c:v>
                </c:pt>
                <c:pt idx="21">
                  <c:v>3864767</c:v>
                </c:pt>
                <c:pt idx="22">
                  <c:v>4067027</c:v>
                </c:pt>
                <c:pt idx="23">
                  <c:v>4087527</c:v>
                </c:pt>
                <c:pt idx="24">
                  <c:v>5562860</c:v>
                </c:pt>
                <c:pt idx="25">
                  <c:v>6303970</c:v>
                </c:pt>
                <c:pt idx="26">
                  <c:v>5857119</c:v>
                </c:pt>
                <c:pt idx="27">
                  <c:v>5895286</c:v>
                </c:pt>
                <c:pt idx="28">
                  <c:v>6037343</c:v>
                </c:pt>
                <c:pt idx="29">
                  <c:v>6174381</c:v>
                </c:pt>
                <c:pt idx="30">
                  <c:v>6031718</c:v>
                </c:pt>
                <c:pt idx="31">
                  <c:v>5015610</c:v>
                </c:pt>
                <c:pt idx="32">
                  <c:v>5539524</c:v>
                </c:pt>
                <c:pt idx="33">
                  <c:v>4713166</c:v>
                </c:pt>
                <c:pt idx="34">
                  <c:v>5629340</c:v>
                </c:pt>
                <c:pt idx="35">
                  <c:v>5604210</c:v>
                </c:pt>
                <c:pt idx="36">
                  <c:v>6477017</c:v>
                </c:pt>
                <c:pt idx="37">
                  <c:v>6227661</c:v>
                </c:pt>
                <c:pt idx="38">
                  <c:v>4700557</c:v>
                </c:pt>
                <c:pt idx="39">
                  <c:v>5869129</c:v>
                </c:pt>
                <c:pt idx="40">
                  <c:v>6146511</c:v>
                </c:pt>
                <c:pt idx="41">
                  <c:v>5241670</c:v>
                </c:pt>
                <c:pt idx="42">
                  <c:v>5812350</c:v>
                </c:pt>
                <c:pt idx="43">
                  <c:v>4850542</c:v>
                </c:pt>
                <c:pt idx="44">
                  <c:v>5536307</c:v>
                </c:pt>
                <c:pt idx="45">
                  <c:v>5730380</c:v>
                </c:pt>
                <c:pt idx="46">
                  <c:v>4673686</c:v>
                </c:pt>
                <c:pt idx="47">
                  <c:v>4900621</c:v>
                </c:pt>
                <c:pt idx="54">
                  <c:v>4667635</c:v>
                </c:pt>
                <c:pt idx="55">
                  <c:v>5987291</c:v>
                </c:pt>
                <c:pt idx="56">
                  <c:v>4910837</c:v>
                </c:pt>
                <c:pt idx="57">
                  <c:v>5670740</c:v>
                </c:pt>
                <c:pt idx="58">
                  <c:v>6483597</c:v>
                </c:pt>
                <c:pt idx="59">
                  <c:v>4857439</c:v>
                </c:pt>
                <c:pt idx="60">
                  <c:v>6048389</c:v>
                </c:pt>
                <c:pt idx="61">
                  <c:v>4959543</c:v>
                </c:pt>
                <c:pt idx="62">
                  <c:v>6072162</c:v>
                </c:pt>
                <c:pt idx="63">
                  <c:v>5278207</c:v>
                </c:pt>
                <c:pt idx="64">
                  <c:v>5700491</c:v>
                </c:pt>
                <c:pt idx="65">
                  <c:v>5948989</c:v>
                </c:pt>
                <c:pt idx="66">
                  <c:v>6427060</c:v>
                </c:pt>
                <c:pt idx="67">
                  <c:v>4521421</c:v>
                </c:pt>
                <c:pt idx="68">
                  <c:v>6067919</c:v>
                </c:pt>
                <c:pt idx="69">
                  <c:v>5219480</c:v>
                </c:pt>
                <c:pt idx="70">
                  <c:v>5298867</c:v>
                </c:pt>
                <c:pt idx="71">
                  <c:v>5907244</c:v>
                </c:pt>
                <c:pt idx="72">
                  <c:v>6004766</c:v>
                </c:pt>
                <c:pt idx="73">
                  <c:v>5578572</c:v>
                </c:pt>
                <c:pt idx="74">
                  <c:v>5362994</c:v>
                </c:pt>
                <c:pt idx="75">
                  <c:v>5357913</c:v>
                </c:pt>
                <c:pt idx="76">
                  <c:v>5201036</c:v>
                </c:pt>
                <c:pt idx="77">
                  <c:v>5652242</c:v>
                </c:pt>
                <c:pt idx="78">
                  <c:v>6320171</c:v>
                </c:pt>
                <c:pt idx="79">
                  <c:v>4510939</c:v>
                </c:pt>
                <c:pt idx="80">
                  <c:v>5250060</c:v>
                </c:pt>
                <c:pt idx="81">
                  <c:v>5352143</c:v>
                </c:pt>
                <c:pt idx="82">
                  <c:v>5723761</c:v>
                </c:pt>
                <c:pt idx="83">
                  <c:v>5615125</c:v>
                </c:pt>
                <c:pt idx="84">
                  <c:v>5655302</c:v>
                </c:pt>
                <c:pt idx="85">
                  <c:v>4738172</c:v>
                </c:pt>
                <c:pt idx="86">
                  <c:v>5516687</c:v>
                </c:pt>
                <c:pt idx="87">
                  <c:v>4604106</c:v>
                </c:pt>
                <c:pt idx="88">
                  <c:v>5443337</c:v>
                </c:pt>
                <c:pt idx="89">
                  <c:v>5718058</c:v>
                </c:pt>
                <c:pt idx="90">
                  <c:v>5072938</c:v>
                </c:pt>
                <c:pt idx="91">
                  <c:v>5488737</c:v>
                </c:pt>
                <c:pt idx="92">
                  <c:v>4889493</c:v>
                </c:pt>
                <c:pt idx="93">
                  <c:v>5848049</c:v>
                </c:pt>
                <c:pt idx="94">
                  <c:v>5051874</c:v>
                </c:pt>
                <c:pt idx="95">
                  <c:v>4530733</c:v>
                </c:pt>
                <c:pt idx="96">
                  <c:v>4378854</c:v>
                </c:pt>
                <c:pt idx="97">
                  <c:v>4073150</c:v>
                </c:pt>
                <c:pt idx="98">
                  <c:v>4462829</c:v>
                </c:pt>
                <c:pt idx="99">
                  <c:v>4374754</c:v>
                </c:pt>
                <c:pt idx="100">
                  <c:v>3824973</c:v>
                </c:pt>
                <c:pt idx="101">
                  <c:v>4421002</c:v>
                </c:pt>
                <c:pt idx="102">
                  <c:v>3506325</c:v>
                </c:pt>
                <c:pt idx="103">
                  <c:v>3911223</c:v>
                </c:pt>
                <c:pt idx="104">
                  <c:v>3722383</c:v>
                </c:pt>
                <c:pt idx="105">
                  <c:v>3900547</c:v>
                </c:pt>
                <c:pt idx="106">
                  <c:v>3435171</c:v>
                </c:pt>
                <c:pt idx="107">
                  <c:v>3827264</c:v>
                </c:pt>
                <c:pt idx="108">
                  <c:v>3343296</c:v>
                </c:pt>
                <c:pt idx="109">
                  <c:v>4478943</c:v>
                </c:pt>
                <c:pt idx="110">
                  <c:v>4009636</c:v>
                </c:pt>
                <c:pt idx="111">
                  <c:v>4276117</c:v>
                </c:pt>
                <c:pt idx="112">
                  <c:v>3518329</c:v>
                </c:pt>
                <c:pt idx="113">
                  <c:v>3710903</c:v>
                </c:pt>
                <c:pt idx="114">
                  <c:v>4233052</c:v>
                </c:pt>
                <c:pt idx="115">
                  <c:v>4453062</c:v>
                </c:pt>
                <c:pt idx="116">
                  <c:v>4127830</c:v>
                </c:pt>
                <c:pt idx="117">
                  <c:v>4515904</c:v>
                </c:pt>
                <c:pt idx="118">
                  <c:v>3717631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66-4DD3-AF35-7DDB81FEF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705051344"/>
        <c:axId val="705052784"/>
      </c:barChart>
      <c:lineChart>
        <c:grouping val="standard"/>
        <c:varyColors val="0"/>
        <c:ser>
          <c:idx val="2"/>
          <c:order val="2"/>
          <c:tx>
            <c:strRef>
              <c:f>'Ecart budgetaire'!$E$3</c:f>
              <c:strCache>
                <c:ptCount val="1"/>
                <c:pt idx="0">
                  <c:v> ecart_pct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'Ecart budgetaire'!$A$4:$B$122</c:f>
              <c:multiLvlStrCache>
                <c:ptCount val="119"/>
                <c:lvl>
                  <c:pt idx="0">
                    <c:v> 2024-01 </c:v>
                  </c:pt>
                  <c:pt idx="1">
                    <c:v> 2024-02 </c:v>
                  </c:pt>
                  <c:pt idx="2">
                    <c:v> 2024-03 </c:v>
                  </c:pt>
                  <c:pt idx="3">
                    <c:v> 2024-04 </c:v>
                  </c:pt>
                  <c:pt idx="4">
                    <c:v> 2024-05 </c:v>
                  </c:pt>
                  <c:pt idx="5">
                    <c:v> 2024-06 </c:v>
                  </c:pt>
                  <c:pt idx="6">
                    <c:v> 2024-07 </c:v>
                  </c:pt>
                  <c:pt idx="7">
                    <c:v> 2024-08 </c:v>
                  </c:pt>
                  <c:pt idx="8">
                    <c:v> 2024-09 </c:v>
                  </c:pt>
                  <c:pt idx="9">
                    <c:v> 2024-10 </c:v>
                  </c:pt>
                  <c:pt idx="10">
                    <c:v> 2024-11 </c:v>
                  </c:pt>
                  <c:pt idx="11">
                    <c:v> 2024-12 </c:v>
                  </c:pt>
                  <c:pt idx="12">
                    <c:v> 2025-01 </c:v>
                  </c:pt>
                  <c:pt idx="13">
                    <c:v> 2025-02 </c:v>
                  </c:pt>
                  <c:pt idx="14">
                    <c:v> 2025-03 </c:v>
                  </c:pt>
                  <c:pt idx="15">
                    <c:v> 2025-04 </c:v>
                  </c:pt>
                  <c:pt idx="16">
                    <c:v> 2025-05 </c:v>
                  </c:pt>
                  <c:pt idx="17">
                    <c:v> 2025-06 </c:v>
                  </c:pt>
                  <c:pt idx="18">
                    <c:v> 2025-07 </c:v>
                  </c:pt>
                  <c:pt idx="19">
                    <c:v> 2025-08 </c:v>
                  </c:pt>
                  <c:pt idx="20">
                    <c:v> 2025-09 </c:v>
                  </c:pt>
                  <c:pt idx="21">
                    <c:v> 2025-10 </c:v>
                  </c:pt>
                  <c:pt idx="22">
                    <c:v> 2025-11 </c:v>
                  </c:pt>
                  <c:pt idx="23">
                    <c:v> 2025-12 </c:v>
                  </c:pt>
                  <c:pt idx="24">
                    <c:v> 2024-01 </c:v>
                  </c:pt>
                  <c:pt idx="25">
                    <c:v> 2024-02 </c:v>
                  </c:pt>
                  <c:pt idx="26">
                    <c:v> 2024-03 </c:v>
                  </c:pt>
                  <c:pt idx="27">
                    <c:v> 2024-04 </c:v>
                  </c:pt>
                  <c:pt idx="28">
                    <c:v> 2024-05 </c:v>
                  </c:pt>
                  <c:pt idx="29">
                    <c:v> 2024-06 </c:v>
                  </c:pt>
                  <c:pt idx="30">
                    <c:v> 2024-07 </c:v>
                  </c:pt>
                  <c:pt idx="31">
                    <c:v> 2024-08 </c:v>
                  </c:pt>
                  <c:pt idx="32">
                    <c:v> 2024-09 </c:v>
                  </c:pt>
                  <c:pt idx="33">
                    <c:v> 2024-10 </c:v>
                  </c:pt>
                  <c:pt idx="34">
                    <c:v> 2024-11 </c:v>
                  </c:pt>
                  <c:pt idx="35">
                    <c:v> 2024-12 </c:v>
                  </c:pt>
                  <c:pt idx="36">
                    <c:v> 2025-01 </c:v>
                  </c:pt>
                  <c:pt idx="37">
                    <c:v> 2025-02 </c:v>
                  </c:pt>
                  <c:pt idx="38">
                    <c:v> 2025-03 </c:v>
                  </c:pt>
                  <c:pt idx="39">
                    <c:v> 2025-04 </c:v>
                  </c:pt>
                  <c:pt idx="40">
                    <c:v> 2025-05 </c:v>
                  </c:pt>
                  <c:pt idx="41">
                    <c:v> 2025-06 </c:v>
                  </c:pt>
                  <c:pt idx="42">
                    <c:v> 2025-07 </c:v>
                  </c:pt>
                  <c:pt idx="43">
                    <c:v> 2025-08 </c:v>
                  </c:pt>
                  <c:pt idx="44">
                    <c:v> 2025-09 </c:v>
                  </c:pt>
                  <c:pt idx="45">
                    <c:v> 2025-10 </c:v>
                  </c:pt>
                  <c:pt idx="46">
                    <c:v> 2025-11 </c:v>
                  </c:pt>
                  <c:pt idx="47">
                    <c:v> 2025-12 </c:v>
                  </c:pt>
                  <c:pt idx="48">
                    <c:v> 2024-01 </c:v>
                  </c:pt>
                  <c:pt idx="49">
                    <c:v> 2024-02 </c:v>
                  </c:pt>
                  <c:pt idx="50">
                    <c:v> 2024-03 </c:v>
                  </c:pt>
                  <c:pt idx="51">
                    <c:v> 2024-04 </c:v>
                  </c:pt>
                  <c:pt idx="52">
                    <c:v> 2024-05 </c:v>
                  </c:pt>
                  <c:pt idx="53">
                    <c:v> 2024-06 </c:v>
                  </c:pt>
                  <c:pt idx="54">
                    <c:v> 2024-07 </c:v>
                  </c:pt>
                  <c:pt idx="55">
                    <c:v> 2024-08 </c:v>
                  </c:pt>
                  <c:pt idx="56">
                    <c:v> 2024-09 </c:v>
                  </c:pt>
                  <c:pt idx="57">
                    <c:v> 2024-10 </c:v>
                  </c:pt>
                  <c:pt idx="58">
                    <c:v> 2024-11 </c:v>
                  </c:pt>
                  <c:pt idx="59">
                    <c:v> 2024-12 </c:v>
                  </c:pt>
                  <c:pt idx="60">
                    <c:v> 2025-01 </c:v>
                  </c:pt>
                  <c:pt idx="61">
                    <c:v> 2025-02 </c:v>
                  </c:pt>
                  <c:pt idx="62">
                    <c:v> 2025-03 </c:v>
                  </c:pt>
                  <c:pt idx="63">
                    <c:v> 2025-04 </c:v>
                  </c:pt>
                  <c:pt idx="64">
                    <c:v> 2025-05 </c:v>
                  </c:pt>
                  <c:pt idx="65">
                    <c:v> 2025-06 </c:v>
                  </c:pt>
                  <c:pt idx="66">
                    <c:v> 2025-07 </c:v>
                  </c:pt>
                  <c:pt idx="67">
                    <c:v> 2025-08 </c:v>
                  </c:pt>
                  <c:pt idx="68">
                    <c:v> 2025-09 </c:v>
                  </c:pt>
                  <c:pt idx="69">
                    <c:v> 2025-10 </c:v>
                  </c:pt>
                  <c:pt idx="70">
                    <c:v> 2025-11 </c:v>
                  </c:pt>
                  <c:pt idx="71">
                    <c:v> 2025-12 </c:v>
                  </c:pt>
                  <c:pt idx="72">
                    <c:v> 2024-01 </c:v>
                  </c:pt>
                  <c:pt idx="73">
                    <c:v> 2024-02 </c:v>
                  </c:pt>
                  <c:pt idx="74">
                    <c:v> 2024-03 </c:v>
                  </c:pt>
                  <c:pt idx="75">
                    <c:v> 2024-04 </c:v>
                  </c:pt>
                  <c:pt idx="76">
                    <c:v> 2024-05 </c:v>
                  </c:pt>
                  <c:pt idx="77">
                    <c:v> 2024-06 </c:v>
                  </c:pt>
                  <c:pt idx="78">
                    <c:v> 2024-07 </c:v>
                  </c:pt>
                  <c:pt idx="79">
                    <c:v> 2024-08 </c:v>
                  </c:pt>
                  <c:pt idx="80">
                    <c:v> 2024-09 </c:v>
                  </c:pt>
                  <c:pt idx="81">
                    <c:v> 2024-10 </c:v>
                  </c:pt>
                  <c:pt idx="82">
                    <c:v> 2024-11 </c:v>
                  </c:pt>
                  <c:pt idx="83">
                    <c:v> 2024-12 </c:v>
                  </c:pt>
                  <c:pt idx="84">
                    <c:v> 2025-01 </c:v>
                  </c:pt>
                  <c:pt idx="85">
                    <c:v> 2025-02 </c:v>
                  </c:pt>
                  <c:pt idx="86">
                    <c:v> 2025-03 </c:v>
                  </c:pt>
                  <c:pt idx="87">
                    <c:v> 2025-04 </c:v>
                  </c:pt>
                  <c:pt idx="88">
                    <c:v> 2025-05 </c:v>
                  </c:pt>
                  <c:pt idx="89">
                    <c:v> 2025-06 </c:v>
                  </c:pt>
                  <c:pt idx="90">
                    <c:v> 2025-07 </c:v>
                  </c:pt>
                  <c:pt idx="91">
                    <c:v> 2025-08 </c:v>
                  </c:pt>
                  <c:pt idx="92">
                    <c:v> 2025-09 </c:v>
                  </c:pt>
                  <c:pt idx="93">
                    <c:v> 2025-10 </c:v>
                  </c:pt>
                  <c:pt idx="94">
                    <c:v> 2025-11 </c:v>
                  </c:pt>
                  <c:pt idx="95">
                    <c:v> 2025-12 </c:v>
                  </c:pt>
                  <c:pt idx="96">
                    <c:v> 2024-01 </c:v>
                  </c:pt>
                  <c:pt idx="97">
                    <c:v> 2024-02 </c:v>
                  </c:pt>
                  <c:pt idx="98">
                    <c:v> 2024-03 </c:v>
                  </c:pt>
                  <c:pt idx="99">
                    <c:v> 2024-04 </c:v>
                  </c:pt>
                  <c:pt idx="100">
                    <c:v> 2024-05 </c:v>
                  </c:pt>
                  <c:pt idx="101">
                    <c:v> 2024-06 </c:v>
                  </c:pt>
                  <c:pt idx="102">
                    <c:v> 2024-07 </c:v>
                  </c:pt>
                  <c:pt idx="103">
                    <c:v> 2024-08 </c:v>
                  </c:pt>
                  <c:pt idx="104">
                    <c:v> 2024-10 </c:v>
                  </c:pt>
                  <c:pt idx="105">
                    <c:v> 2024-11 </c:v>
                  </c:pt>
                  <c:pt idx="106">
                    <c:v> 2024-12 </c:v>
                  </c:pt>
                  <c:pt idx="107">
                    <c:v> 2025-01 </c:v>
                  </c:pt>
                  <c:pt idx="108">
                    <c:v> 2025-02 </c:v>
                  </c:pt>
                  <c:pt idx="109">
                    <c:v> 2025-03 </c:v>
                  </c:pt>
                  <c:pt idx="110">
                    <c:v> 2025-04 </c:v>
                  </c:pt>
                  <c:pt idx="111">
                    <c:v> 2025-05 </c:v>
                  </c:pt>
                  <c:pt idx="112">
                    <c:v> 2025-06 </c:v>
                  </c:pt>
                  <c:pt idx="113">
                    <c:v> 2025-07 </c:v>
                  </c:pt>
                  <c:pt idx="114">
                    <c:v> 2025-08 </c:v>
                  </c:pt>
                  <c:pt idx="115">
                    <c:v> 2025-09 </c:v>
                  </c:pt>
                  <c:pt idx="116">
                    <c:v> 2025-10 </c:v>
                  </c:pt>
                  <c:pt idx="117">
                    <c:v> 2025-11 </c:v>
                  </c:pt>
                  <c:pt idx="118">
                    <c:v> 2025-12 </c:v>
                  </c:pt>
                </c:lvl>
                <c:lvl>
                  <c:pt idx="0">
                    <c:v> Benin </c:v>
                  </c:pt>
                  <c:pt idx="1">
                    <c:v> Benin </c:v>
                  </c:pt>
                  <c:pt idx="2">
                    <c:v> Benin </c:v>
                  </c:pt>
                  <c:pt idx="3">
                    <c:v> Benin </c:v>
                  </c:pt>
                  <c:pt idx="4">
                    <c:v> Benin </c:v>
                  </c:pt>
                  <c:pt idx="5">
                    <c:v> Benin </c:v>
                  </c:pt>
                  <c:pt idx="6">
                    <c:v> Benin </c:v>
                  </c:pt>
                  <c:pt idx="7">
                    <c:v> Benin </c:v>
                  </c:pt>
                  <c:pt idx="8">
                    <c:v> Benin </c:v>
                  </c:pt>
                  <c:pt idx="9">
                    <c:v> Benin </c:v>
                  </c:pt>
                  <c:pt idx="10">
                    <c:v> Benin </c:v>
                  </c:pt>
                  <c:pt idx="11">
                    <c:v> Benin </c:v>
                  </c:pt>
                  <c:pt idx="12">
                    <c:v> Benin </c:v>
                  </c:pt>
                  <c:pt idx="13">
                    <c:v> Benin </c:v>
                  </c:pt>
                  <c:pt idx="14">
                    <c:v> Benin </c:v>
                  </c:pt>
                  <c:pt idx="15">
                    <c:v> Benin </c:v>
                  </c:pt>
                  <c:pt idx="16">
                    <c:v> Benin </c:v>
                  </c:pt>
                  <c:pt idx="17">
                    <c:v> Benin </c:v>
                  </c:pt>
                  <c:pt idx="18">
                    <c:v> Benin </c:v>
                  </c:pt>
                  <c:pt idx="19">
                    <c:v> Benin </c:v>
                  </c:pt>
                  <c:pt idx="20">
                    <c:v> Benin </c:v>
                  </c:pt>
                  <c:pt idx="21">
                    <c:v> Benin </c:v>
                  </c:pt>
                  <c:pt idx="22">
                    <c:v> Benin </c:v>
                  </c:pt>
                  <c:pt idx="23">
                    <c:v> Benin </c:v>
                  </c:pt>
                  <c:pt idx="24">
                    <c:v> Cote d'Ivoire </c:v>
                  </c:pt>
                  <c:pt idx="25">
                    <c:v> Cote d'Ivoire </c:v>
                  </c:pt>
                  <c:pt idx="26">
                    <c:v> Cote d'Ivoire </c:v>
                  </c:pt>
                  <c:pt idx="27">
                    <c:v> Cote d'Ivoire </c:v>
                  </c:pt>
                  <c:pt idx="28">
                    <c:v> Cote d'Ivoire </c:v>
                  </c:pt>
                  <c:pt idx="29">
                    <c:v> Cote d'Ivoire </c:v>
                  </c:pt>
                  <c:pt idx="30">
                    <c:v> Cote d'Ivoire </c:v>
                  </c:pt>
                  <c:pt idx="31">
                    <c:v> Cote d'Ivoire </c:v>
                  </c:pt>
                  <c:pt idx="32">
                    <c:v> Cote d'Ivoire </c:v>
                  </c:pt>
                  <c:pt idx="33">
                    <c:v> Cote d'Ivoire </c:v>
                  </c:pt>
                  <c:pt idx="34">
                    <c:v> Cote d'Ivoire </c:v>
                  </c:pt>
                  <c:pt idx="35">
                    <c:v> Cote d'Ivoire </c:v>
                  </c:pt>
                  <c:pt idx="36">
                    <c:v> Cote d'Ivoire </c:v>
                  </c:pt>
                  <c:pt idx="37">
                    <c:v> Cote d'Ivoire </c:v>
                  </c:pt>
                  <c:pt idx="38">
                    <c:v> Cote d'Ivoire </c:v>
                  </c:pt>
                  <c:pt idx="39">
                    <c:v> Cote d'Ivoire </c:v>
                  </c:pt>
                  <c:pt idx="40">
                    <c:v> Cote d'Ivoire </c:v>
                  </c:pt>
                  <c:pt idx="41">
                    <c:v> Cote d'Ivoire </c:v>
                  </c:pt>
                  <c:pt idx="42">
                    <c:v> Cote d'Ivoire </c:v>
                  </c:pt>
                  <c:pt idx="43">
                    <c:v> Cote d'Ivoire </c:v>
                  </c:pt>
                  <c:pt idx="44">
                    <c:v> Cote d'Ivoire </c:v>
                  </c:pt>
                  <c:pt idx="45">
                    <c:v> Cote d'Ivoire </c:v>
                  </c:pt>
                  <c:pt idx="46">
                    <c:v> Cote d'Ivoire </c:v>
                  </c:pt>
                  <c:pt idx="47">
                    <c:v> Cote d'Ivoire </c:v>
                  </c:pt>
                  <c:pt idx="48">
                    <c:v> Ghana </c:v>
                  </c:pt>
                  <c:pt idx="49">
                    <c:v> Ghana </c:v>
                  </c:pt>
                  <c:pt idx="50">
                    <c:v> Ghana </c:v>
                  </c:pt>
                  <c:pt idx="51">
                    <c:v> Ghana </c:v>
                  </c:pt>
                  <c:pt idx="52">
                    <c:v> Ghana </c:v>
                  </c:pt>
                  <c:pt idx="53">
                    <c:v> Ghana </c:v>
                  </c:pt>
                  <c:pt idx="54">
                    <c:v> Ghana </c:v>
                  </c:pt>
                  <c:pt idx="55">
                    <c:v> Ghana </c:v>
                  </c:pt>
                  <c:pt idx="56">
                    <c:v> Ghana </c:v>
                  </c:pt>
                  <c:pt idx="57">
                    <c:v> Ghana </c:v>
                  </c:pt>
                  <c:pt idx="58">
                    <c:v> Ghana </c:v>
                  </c:pt>
                  <c:pt idx="59">
                    <c:v> Ghana </c:v>
                  </c:pt>
                  <c:pt idx="60">
                    <c:v> Ghana </c:v>
                  </c:pt>
                  <c:pt idx="61">
                    <c:v> Ghana </c:v>
                  </c:pt>
                  <c:pt idx="62">
                    <c:v> Ghana </c:v>
                  </c:pt>
                  <c:pt idx="63">
                    <c:v> Ghana </c:v>
                  </c:pt>
                  <c:pt idx="64">
                    <c:v> Ghana </c:v>
                  </c:pt>
                  <c:pt idx="65">
                    <c:v> Ghana </c:v>
                  </c:pt>
                  <c:pt idx="66">
                    <c:v> Ghana </c:v>
                  </c:pt>
                  <c:pt idx="67">
                    <c:v> Ghana </c:v>
                  </c:pt>
                  <c:pt idx="68">
                    <c:v> Ghana </c:v>
                  </c:pt>
                  <c:pt idx="69">
                    <c:v> Ghana </c:v>
                  </c:pt>
                  <c:pt idx="70">
                    <c:v> Ghana </c:v>
                  </c:pt>
                  <c:pt idx="71">
                    <c:v> Ghana </c:v>
                  </c:pt>
                  <c:pt idx="72">
                    <c:v> Senegal </c:v>
                  </c:pt>
                  <c:pt idx="73">
                    <c:v> Senegal </c:v>
                  </c:pt>
                  <c:pt idx="74">
                    <c:v> Senegal </c:v>
                  </c:pt>
                  <c:pt idx="75">
                    <c:v> Senegal </c:v>
                  </c:pt>
                  <c:pt idx="76">
                    <c:v> Senegal </c:v>
                  </c:pt>
                  <c:pt idx="77">
                    <c:v> Senegal </c:v>
                  </c:pt>
                  <c:pt idx="78">
                    <c:v> Senegal </c:v>
                  </c:pt>
                  <c:pt idx="79">
                    <c:v> Senegal </c:v>
                  </c:pt>
                  <c:pt idx="80">
                    <c:v> Senegal </c:v>
                  </c:pt>
                  <c:pt idx="81">
                    <c:v> Senegal </c:v>
                  </c:pt>
                  <c:pt idx="82">
                    <c:v> Senegal </c:v>
                  </c:pt>
                  <c:pt idx="83">
                    <c:v> Senegal </c:v>
                  </c:pt>
                  <c:pt idx="84">
                    <c:v> Senegal </c:v>
                  </c:pt>
                  <c:pt idx="85">
                    <c:v> Senegal </c:v>
                  </c:pt>
                  <c:pt idx="86">
                    <c:v> Senegal </c:v>
                  </c:pt>
                  <c:pt idx="87">
                    <c:v> Senegal </c:v>
                  </c:pt>
                  <c:pt idx="88">
                    <c:v> Senegal </c:v>
                  </c:pt>
                  <c:pt idx="89">
                    <c:v> Senegal </c:v>
                  </c:pt>
                  <c:pt idx="90">
                    <c:v> Senegal </c:v>
                  </c:pt>
                  <c:pt idx="91">
                    <c:v> Senegal </c:v>
                  </c:pt>
                  <c:pt idx="92">
                    <c:v> Senegal </c:v>
                  </c:pt>
                  <c:pt idx="93">
                    <c:v> Senegal </c:v>
                  </c:pt>
                  <c:pt idx="94">
                    <c:v> Senegal </c:v>
                  </c:pt>
                  <c:pt idx="95">
                    <c:v> Senegal </c:v>
                  </c:pt>
                  <c:pt idx="96">
                    <c:v> Togo </c:v>
                  </c:pt>
                  <c:pt idx="97">
                    <c:v> Togo </c:v>
                  </c:pt>
                  <c:pt idx="98">
                    <c:v> Togo </c:v>
                  </c:pt>
                  <c:pt idx="99">
                    <c:v> Togo </c:v>
                  </c:pt>
                  <c:pt idx="100">
                    <c:v> Togo </c:v>
                  </c:pt>
                  <c:pt idx="101">
                    <c:v> Togo </c:v>
                  </c:pt>
                  <c:pt idx="102">
                    <c:v> Togo </c:v>
                  </c:pt>
                  <c:pt idx="103">
                    <c:v> Togo </c:v>
                  </c:pt>
                  <c:pt idx="104">
                    <c:v> Togo </c:v>
                  </c:pt>
                  <c:pt idx="105">
                    <c:v> Togo </c:v>
                  </c:pt>
                  <c:pt idx="106">
                    <c:v> Togo </c:v>
                  </c:pt>
                  <c:pt idx="107">
                    <c:v> Togo </c:v>
                  </c:pt>
                  <c:pt idx="108">
                    <c:v> Togo </c:v>
                  </c:pt>
                  <c:pt idx="109">
                    <c:v> Togo </c:v>
                  </c:pt>
                  <c:pt idx="110">
                    <c:v> Togo </c:v>
                  </c:pt>
                  <c:pt idx="111">
                    <c:v> Togo </c:v>
                  </c:pt>
                  <c:pt idx="112">
                    <c:v> Togo </c:v>
                  </c:pt>
                  <c:pt idx="113">
                    <c:v> Togo </c:v>
                  </c:pt>
                  <c:pt idx="114">
                    <c:v> Togo </c:v>
                  </c:pt>
                  <c:pt idx="115">
                    <c:v> Togo </c:v>
                  </c:pt>
                  <c:pt idx="116">
                    <c:v> Togo </c:v>
                  </c:pt>
                  <c:pt idx="117">
                    <c:v> Togo </c:v>
                  </c:pt>
                  <c:pt idx="118">
                    <c:v> Togo </c:v>
                  </c:pt>
                </c:lvl>
              </c:multiLvlStrCache>
            </c:multiLvlStrRef>
          </c:cat>
          <c:val>
            <c:numRef>
              <c:f>'Ecart budgetaire'!$E$4:$E$122</c:f>
              <c:numCache>
                <c:formatCode>_-* #\ ##0.0_-;\-* #\ ##0.0_-;_-* "-"_-;_-@_-</c:formatCode>
                <c:ptCount val="119"/>
                <c:pt idx="0">
                  <c:v>2.4813814638000129</c:v>
                </c:pt>
                <c:pt idx="1">
                  <c:v>1.6188818905606699</c:v>
                </c:pt>
                <c:pt idx="2">
                  <c:v>0.78190847421057974</c:v>
                </c:pt>
                <c:pt idx="3">
                  <c:v>2.242209005824618</c:v>
                </c:pt>
                <c:pt idx="4">
                  <c:v>0.30642842741257992</c:v>
                </c:pt>
                <c:pt idx="5">
                  <c:v>0.57948516638376191</c:v>
                </c:pt>
                <c:pt idx="6">
                  <c:v>3.5780870254706412</c:v>
                </c:pt>
                <c:pt idx="7">
                  <c:v>1.7642298931515099</c:v>
                </c:pt>
                <c:pt idx="8">
                  <c:v>2.144278851631034</c:v>
                </c:pt>
                <c:pt idx="9">
                  <c:v>1.048311202847894</c:v>
                </c:pt>
                <c:pt idx="10">
                  <c:v>3.169667039647035</c:v>
                </c:pt>
                <c:pt idx="11">
                  <c:v>2.4464812558479361</c:v>
                </c:pt>
                <c:pt idx="12">
                  <c:v>2.5291712807206999</c:v>
                </c:pt>
                <c:pt idx="13">
                  <c:v>1.466683835115993</c:v>
                </c:pt>
                <c:pt idx="14">
                  <c:v>1.5530316014707211</c:v>
                </c:pt>
                <c:pt idx="15">
                  <c:v>0.1312993670389668</c:v>
                </c:pt>
                <c:pt idx="16">
                  <c:v>5.6807930470243377</c:v>
                </c:pt>
                <c:pt idx="17">
                  <c:v>3.546461642141177</c:v>
                </c:pt>
                <c:pt idx="18">
                  <c:v>1.991046695017852</c:v>
                </c:pt>
                <c:pt idx="19">
                  <c:v>0.88481046591680168</c:v>
                </c:pt>
                <c:pt idx="20">
                  <c:v>0.75307091212554389</c:v>
                </c:pt>
                <c:pt idx="21">
                  <c:v>1.1574146384503901</c:v>
                </c:pt>
                <c:pt idx="22">
                  <c:v>0.74649097485706384</c:v>
                </c:pt>
                <c:pt idx="23">
                  <c:v>3.0394480697008239</c:v>
                </c:pt>
                <c:pt idx="24">
                  <c:v>0.59084046695404879</c:v>
                </c:pt>
                <c:pt idx="25">
                  <c:v>0.35791140344893768</c:v>
                </c:pt>
                <c:pt idx="26">
                  <c:v>2.2820765550435289</c:v>
                </c:pt>
                <c:pt idx="27">
                  <c:v>0.87897861104618158</c:v>
                </c:pt>
                <c:pt idx="28">
                  <c:v>1.778036430926651</c:v>
                </c:pt>
                <c:pt idx="29">
                  <c:v>5.7831546190622182E-2</c:v>
                </c:pt>
                <c:pt idx="30">
                  <c:v>0.61280840715696594</c:v>
                </c:pt>
                <c:pt idx="31">
                  <c:v>0.28193396217010491</c:v>
                </c:pt>
                <c:pt idx="32">
                  <c:v>1.7724666956944319</c:v>
                </c:pt>
                <c:pt idx="33">
                  <c:v>3.4957805008353202</c:v>
                </c:pt>
                <c:pt idx="34">
                  <c:v>1.4051598233540701</c:v>
                </c:pt>
                <c:pt idx="35">
                  <c:v>2.8182701754573789</c:v>
                </c:pt>
                <c:pt idx="36">
                  <c:v>0.58529540682076331</c:v>
                </c:pt>
                <c:pt idx="37">
                  <c:v>1.1610801631623811</c:v>
                </c:pt>
                <c:pt idx="38">
                  <c:v>1.494336937090647</c:v>
                </c:pt>
                <c:pt idx="39">
                  <c:v>1.659373886653368</c:v>
                </c:pt>
                <c:pt idx="40">
                  <c:v>0.68879229208245119</c:v>
                </c:pt>
                <c:pt idx="41">
                  <c:v>1.4286776256422089</c:v>
                </c:pt>
                <c:pt idx="42">
                  <c:v>0.31747605529605072</c:v>
                </c:pt>
                <c:pt idx="43">
                  <c:v>2.792646192940913</c:v>
                </c:pt>
                <c:pt idx="44">
                  <c:v>0.90149113840688389</c:v>
                </c:pt>
                <c:pt idx="45">
                  <c:v>0.72863313602239288</c:v>
                </c:pt>
                <c:pt idx="46">
                  <c:v>3.1221523119011421</c:v>
                </c:pt>
                <c:pt idx="47">
                  <c:v>2.3900716256164269</c:v>
                </c:pt>
                <c:pt idx="54">
                  <c:v>2.533713015263618</c:v>
                </c:pt>
                <c:pt idx="55">
                  <c:v>1.171115158758778</c:v>
                </c:pt>
                <c:pt idx="56">
                  <c:v>1.363182111318294</c:v>
                </c:pt>
                <c:pt idx="57">
                  <c:v>0.89185094890613914</c:v>
                </c:pt>
                <c:pt idx="58">
                  <c:v>0.70554289540204296</c:v>
                </c:pt>
                <c:pt idx="59">
                  <c:v>0.74806628554676657</c:v>
                </c:pt>
                <c:pt idx="60">
                  <c:v>1.397968979839094</c:v>
                </c:pt>
                <c:pt idx="61">
                  <c:v>1.5298203483667749</c:v>
                </c:pt>
                <c:pt idx="62">
                  <c:v>0.47361648124671252</c:v>
                </c:pt>
                <c:pt idx="63">
                  <c:v>0.34827682961278328</c:v>
                </c:pt>
                <c:pt idx="64">
                  <c:v>0.29942568105098322</c:v>
                </c:pt>
                <c:pt idx="65">
                  <c:v>1.1289139549594061</c:v>
                </c:pt>
                <c:pt idx="66">
                  <c:v>0.5240790190226946</c:v>
                </c:pt>
                <c:pt idx="67">
                  <c:v>1.22739132232986</c:v>
                </c:pt>
                <c:pt idx="68">
                  <c:v>0.51805144399587411</c:v>
                </c:pt>
                <c:pt idx="69">
                  <c:v>4.1955997149141293</c:v>
                </c:pt>
                <c:pt idx="70">
                  <c:v>0.82623213603964774</c:v>
                </c:pt>
                <c:pt idx="71">
                  <c:v>2.2652936885627208</c:v>
                </c:pt>
                <c:pt idx="72">
                  <c:v>1.1421098507418941</c:v>
                </c:pt>
                <c:pt idx="73">
                  <c:v>1.7640575222476289</c:v>
                </c:pt>
                <c:pt idx="74">
                  <c:v>0.79932332573931641</c:v>
                </c:pt>
                <c:pt idx="75">
                  <c:v>1.319741231333917</c:v>
                </c:pt>
                <c:pt idx="76">
                  <c:v>2.255036688844299</c:v>
                </c:pt>
                <c:pt idx="77">
                  <c:v>0.54217393735087771</c:v>
                </c:pt>
                <c:pt idx="78">
                  <c:v>1.0545270373222499</c:v>
                </c:pt>
                <c:pt idx="79">
                  <c:v>9.0654462407937689E-2</c:v>
                </c:pt>
                <c:pt idx="80">
                  <c:v>0.58752159022944495</c:v>
                </c:pt>
                <c:pt idx="81">
                  <c:v>4.6770050800212177E-3</c:v>
                </c:pt>
                <c:pt idx="82">
                  <c:v>1.244418573731503</c:v>
                </c:pt>
                <c:pt idx="83">
                  <c:v>1.439371367511854</c:v>
                </c:pt>
                <c:pt idx="84">
                  <c:v>2.0727492183441312</c:v>
                </c:pt>
                <c:pt idx="85">
                  <c:v>0.70169524238461589</c:v>
                </c:pt>
                <c:pt idx="86">
                  <c:v>1.1878932047440789</c:v>
                </c:pt>
                <c:pt idx="87">
                  <c:v>0.99250242066537986</c:v>
                </c:pt>
                <c:pt idx="88">
                  <c:v>1.7863636589099661</c:v>
                </c:pt>
                <c:pt idx="89">
                  <c:v>1.071931694292013</c:v>
                </c:pt>
                <c:pt idx="90">
                  <c:v>1.4889775510759251</c:v>
                </c:pt>
                <c:pt idx="91">
                  <c:v>0.48965653664950609</c:v>
                </c:pt>
                <c:pt idx="92">
                  <c:v>1.2779617539078181</c:v>
                </c:pt>
                <c:pt idx="93">
                  <c:v>1.9182877400651051</c:v>
                </c:pt>
                <c:pt idx="94">
                  <c:v>0.82879410689973654</c:v>
                </c:pt>
                <c:pt idx="95">
                  <c:v>1.0538122418602029</c:v>
                </c:pt>
                <c:pt idx="96">
                  <c:v>0.66479496690229911</c:v>
                </c:pt>
                <c:pt idx="97">
                  <c:v>0.59342523599671015</c:v>
                </c:pt>
                <c:pt idx="98">
                  <c:v>0.47360255120686912</c:v>
                </c:pt>
                <c:pt idx="99">
                  <c:v>1.4236972867502951</c:v>
                </c:pt>
                <c:pt idx="100">
                  <c:v>1.537043790897348</c:v>
                </c:pt>
                <c:pt idx="101">
                  <c:v>0.14910323496800049</c:v>
                </c:pt>
                <c:pt idx="102">
                  <c:v>0.55825070408476107</c:v>
                </c:pt>
                <c:pt idx="103">
                  <c:v>2.0984576179880312</c:v>
                </c:pt>
                <c:pt idx="104">
                  <c:v>0.85503227368059653</c:v>
                </c:pt>
                <c:pt idx="105">
                  <c:v>3.713521462502567</c:v>
                </c:pt>
                <c:pt idx="106">
                  <c:v>2.2712401798920641</c:v>
                </c:pt>
                <c:pt idx="107">
                  <c:v>1.8390401210891121</c:v>
                </c:pt>
                <c:pt idx="108">
                  <c:v>1.177583991964815</c:v>
                </c:pt>
                <c:pt idx="109">
                  <c:v>1.026757953829732</c:v>
                </c:pt>
                <c:pt idx="110">
                  <c:v>3.1795135019737448</c:v>
                </c:pt>
                <c:pt idx="111">
                  <c:v>3.643745400324641</c:v>
                </c:pt>
                <c:pt idx="112">
                  <c:v>0.85695232026339785</c:v>
                </c:pt>
                <c:pt idx="113">
                  <c:v>3.0024465743243631</c:v>
                </c:pt>
                <c:pt idx="114">
                  <c:v>0.79887614184753697</c:v>
                </c:pt>
                <c:pt idx="115">
                  <c:v>1.649033249480919</c:v>
                </c:pt>
                <c:pt idx="116">
                  <c:v>2.518175942323206</c:v>
                </c:pt>
                <c:pt idx="117">
                  <c:v>0.4939070006802625</c:v>
                </c:pt>
                <c:pt idx="118">
                  <c:v>5.8793444265985517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66-4DD3-AF35-7DDB81FEF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038864"/>
        <c:axId val="705040784"/>
      </c:lineChart>
      <c:catAx>
        <c:axId val="70505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05052784"/>
        <c:crosses val="autoZero"/>
        <c:auto val="1"/>
        <c:lblAlgn val="ctr"/>
        <c:lblOffset val="100"/>
        <c:noMultiLvlLbl val="1"/>
      </c:catAx>
      <c:valAx>
        <c:axId val="7050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05051344"/>
        <c:crossesAt val="1"/>
        <c:crossBetween val="between"/>
      </c:valAx>
      <c:valAx>
        <c:axId val="705040784"/>
        <c:scaling>
          <c:orientation val="minMax"/>
        </c:scaling>
        <c:delete val="0"/>
        <c:axPos val="r"/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05038864"/>
        <c:crosses val="max"/>
        <c:crossBetween val="between"/>
      </c:valAx>
      <c:catAx>
        <c:axId val="705038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5040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fr-FR" sz="1200"/>
              <a:t>Volatitlité du Chiffre d'Affaires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ca_mensuel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'Evolution mensuelle CA'!$A$5:$A$28</c:f>
              <c:strCache>
                <c:ptCount val="24"/>
                <c:pt idx="0">
                  <c:v> 2024-01 </c:v>
                </c:pt>
                <c:pt idx="1">
                  <c:v> 2024-02 </c:v>
                </c:pt>
                <c:pt idx="2">
                  <c:v> 2024-03 </c:v>
                </c:pt>
                <c:pt idx="3">
                  <c:v> 2024-04 </c:v>
                </c:pt>
                <c:pt idx="4">
                  <c:v> 2024-05 </c:v>
                </c:pt>
                <c:pt idx="5">
                  <c:v> 2024-06 </c:v>
                </c:pt>
                <c:pt idx="6">
                  <c:v> 2024-07 </c:v>
                </c:pt>
                <c:pt idx="7">
                  <c:v> 2024-08 </c:v>
                </c:pt>
                <c:pt idx="8">
                  <c:v> 2024-09 </c:v>
                </c:pt>
                <c:pt idx="9">
                  <c:v> 2024-10 </c:v>
                </c:pt>
                <c:pt idx="10">
                  <c:v> 2024-11 </c:v>
                </c:pt>
                <c:pt idx="11">
                  <c:v> 2024-12 </c:v>
                </c:pt>
                <c:pt idx="12">
                  <c:v> 2025-01 </c:v>
                </c:pt>
                <c:pt idx="13">
                  <c:v> 2025-02 </c:v>
                </c:pt>
                <c:pt idx="14">
                  <c:v> 2025-03 </c:v>
                </c:pt>
                <c:pt idx="15">
                  <c:v> 2025-04 </c:v>
                </c:pt>
                <c:pt idx="16">
                  <c:v> 2025-05 </c:v>
                </c:pt>
                <c:pt idx="17">
                  <c:v> 2025-06 </c:v>
                </c:pt>
                <c:pt idx="18">
                  <c:v> 2025-07 </c:v>
                </c:pt>
                <c:pt idx="19">
                  <c:v> 2025-08 </c:v>
                </c:pt>
                <c:pt idx="20">
                  <c:v> 2025-09 </c:v>
                </c:pt>
                <c:pt idx="21">
                  <c:v> 2025-10 </c:v>
                </c:pt>
                <c:pt idx="22">
                  <c:v> 2025-11 </c:v>
                </c:pt>
                <c:pt idx="23">
                  <c:v> 2025-12 </c:v>
                </c:pt>
              </c:strCache>
            </c:strRef>
          </c:cat>
          <c:val>
            <c:numRef>
              <c:f>'Evolution mensuelle CA'!$B$5:$B$28</c:f>
              <c:numCache>
                <c:formatCode>_(* #,##0_);_(* \(#,##0\);_(* "-"_);_(@_)</c:formatCode>
                <c:ptCount val="24"/>
                <c:pt idx="0">
                  <c:v>32354886.899999999</c:v>
                </c:pt>
                <c:pt idx="1">
                  <c:v>30681763.699999999</c:v>
                </c:pt>
                <c:pt idx="2">
                  <c:v>24033111.75</c:v>
                </c:pt>
                <c:pt idx="3">
                  <c:v>31897805.600000001</c:v>
                </c:pt>
                <c:pt idx="4">
                  <c:v>36087725.850000001</c:v>
                </c:pt>
                <c:pt idx="5">
                  <c:v>15403310.35</c:v>
                </c:pt>
                <c:pt idx="6">
                  <c:v>37547321.549999997</c:v>
                </c:pt>
                <c:pt idx="7">
                  <c:v>24077409.5</c:v>
                </c:pt>
                <c:pt idx="8">
                  <c:v>26373345.949999999</c:v>
                </c:pt>
                <c:pt idx="9">
                  <c:v>29224019.050000001</c:v>
                </c:pt>
                <c:pt idx="10">
                  <c:v>45236089.149999999</c:v>
                </c:pt>
                <c:pt idx="11">
                  <c:v>44379939</c:v>
                </c:pt>
                <c:pt idx="12">
                  <c:v>40953493.649999999</c:v>
                </c:pt>
                <c:pt idx="13">
                  <c:v>27517345.300000001</c:v>
                </c:pt>
                <c:pt idx="14">
                  <c:v>27646837.699999999</c:v>
                </c:pt>
                <c:pt idx="15">
                  <c:v>29456439.949999999</c:v>
                </c:pt>
                <c:pt idx="16">
                  <c:v>54197097.299999997</c:v>
                </c:pt>
                <c:pt idx="17">
                  <c:v>34957938.049999997</c:v>
                </c:pt>
                <c:pt idx="18">
                  <c:v>32774897.350000001</c:v>
                </c:pt>
                <c:pt idx="19">
                  <c:v>28023014.949999999</c:v>
                </c:pt>
                <c:pt idx="20">
                  <c:v>24995184.699999999</c:v>
                </c:pt>
                <c:pt idx="21">
                  <c:v>52160174.350000001</c:v>
                </c:pt>
                <c:pt idx="22">
                  <c:v>28423452.699999999</c:v>
                </c:pt>
                <c:pt idx="23">
                  <c:v>64150078.799999997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5-42C9-AC10-03CD4A785BCC}"/>
            </c:ext>
          </c:extLst>
        </c:ser>
        <c:ser>
          <c:idx val="1"/>
          <c:order val="1"/>
          <c:tx>
            <c:v>moy.mobile_3.mois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'Evolution mensuelle CA'!$A$5:$A$28</c:f>
              <c:strCache>
                <c:ptCount val="24"/>
                <c:pt idx="0">
                  <c:v> 2024-01 </c:v>
                </c:pt>
                <c:pt idx="1">
                  <c:v> 2024-02 </c:v>
                </c:pt>
                <c:pt idx="2">
                  <c:v> 2024-03 </c:v>
                </c:pt>
                <c:pt idx="3">
                  <c:v> 2024-04 </c:v>
                </c:pt>
                <c:pt idx="4">
                  <c:v> 2024-05 </c:v>
                </c:pt>
                <c:pt idx="5">
                  <c:v> 2024-06 </c:v>
                </c:pt>
                <c:pt idx="6">
                  <c:v> 2024-07 </c:v>
                </c:pt>
                <c:pt idx="7">
                  <c:v> 2024-08 </c:v>
                </c:pt>
                <c:pt idx="8">
                  <c:v> 2024-09 </c:v>
                </c:pt>
                <c:pt idx="9">
                  <c:v> 2024-10 </c:v>
                </c:pt>
                <c:pt idx="10">
                  <c:v> 2024-11 </c:v>
                </c:pt>
                <c:pt idx="11">
                  <c:v> 2024-12 </c:v>
                </c:pt>
                <c:pt idx="12">
                  <c:v> 2025-01 </c:v>
                </c:pt>
                <c:pt idx="13">
                  <c:v> 2025-02 </c:v>
                </c:pt>
                <c:pt idx="14">
                  <c:v> 2025-03 </c:v>
                </c:pt>
                <c:pt idx="15">
                  <c:v> 2025-04 </c:v>
                </c:pt>
                <c:pt idx="16">
                  <c:v> 2025-05 </c:v>
                </c:pt>
                <c:pt idx="17">
                  <c:v> 2025-06 </c:v>
                </c:pt>
                <c:pt idx="18">
                  <c:v> 2025-07 </c:v>
                </c:pt>
                <c:pt idx="19">
                  <c:v> 2025-08 </c:v>
                </c:pt>
                <c:pt idx="20">
                  <c:v> 2025-09 </c:v>
                </c:pt>
                <c:pt idx="21">
                  <c:v> 2025-10 </c:v>
                </c:pt>
                <c:pt idx="22">
                  <c:v> 2025-11 </c:v>
                </c:pt>
                <c:pt idx="23">
                  <c:v> 2025-12 </c:v>
                </c:pt>
              </c:strCache>
            </c:strRef>
          </c:cat>
          <c:val>
            <c:numRef>
              <c:f>'Evolution mensuelle CA'!$G$5:$G$28</c:f>
              <c:numCache>
                <c:formatCode>_(* #,##0_);_(* \(#,##0\);_(* "-"_);_(@_)</c:formatCode>
                <c:ptCount val="24"/>
                <c:pt idx="0">
                  <c:v>32354886.899999999</c:v>
                </c:pt>
                <c:pt idx="1">
                  <c:v>31518325.300000001</c:v>
                </c:pt>
                <c:pt idx="2">
                  <c:v>29023254.120000001</c:v>
                </c:pt>
                <c:pt idx="3">
                  <c:v>28870893.68</c:v>
                </c:pt>
                <c:pt idx="4">
                  <c:v>30672881.07</c:v>
                </c:pt>
                <c:pt idx="5">
                  <c:v>27796280.600000001</c:v>
                </c:pt>
                <c:pt idx="6">
                  <c:v>29679452.579999998</c:v>
                </c:pt>
                <c:pt idx="7">
                  <c:v>25676013.800000001</c:v>
                </c:pt>
                <c:pt idx="8">
                  <c:v>29332692.329999998</c:v>
                </c:pt>
                <c:pt idx="9">
                  <c:v>26558258.170000002</c:v>
                </c:pt>
                <c:pt idx="10">
                  <c:v>33611151.380000003</c:v>
                </c:pt>
                <c:pt idx="11">
                  <c:v>39613349.07</c:v>
                </c:pt>
                <c:pt idx="12">
                  <c:v>43523173.93</c:v>
                </c:pt>
                <c:pt idx="13">
                  <c:v>37616925.979999997</c:v>
                </c:pt>
                <c:pt idx="14">
                  <c:v>32039225.550000001</c:v>
                </c:pt>
                <c:pt idx="15">
                  <c:v>28206874.32</c:v>
                </c:pt>
                <c:pt idx="16">
                  <c:v>37100124.979999997</c:v>
                </c:pt>
                <c:pt idx="17">
                  <c:v>39537158.43</c:v>
                </c:pt>
                <c:pt idx="18">
                  <c:v>40643310.899999999</c:v>
                </c:pt>
                <c:pt idx="19">
                  <c:v>31918616.780000001</c:v>
                </c:pt>
                <c:pt idx="20">
                  <c:v>28597699</c:v>
                </c:pt>
                <c:pt idx="21">
                  <c:v>35059458</c:v>
                </c:pt>
                <c:pt idx="22">
                  <c:v>35192937.25</c:v>
                </c:pt>
                <c:pt idx="23">
                  <c:v>48244568.619999997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5-42C9-AC10-03CD4A785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069584"/>
        <c:axId val="705074864"/>
      </c:lineChart>
      <c:catAx>
        <c:axId val="70506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0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05074864"/>
        <c:crosses val="autoZero"/>
        <c:auto val="1"/>
        <c:lblAlgn val="ctr"/>
        <c:lblOffset val="100"/>
        <c:noMultiLvlLbl val="0"/>
      </c:catAx>
      <c:valAx>
        <c:axId val="70507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0506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baseline="0"/>
              <a:t>Nombre de 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'Repartition tranches CA'!$B$3</c:f>
              <c:strCache>
                <c:ptCount val="1"/>
                <c:pt idx="0">
                  <c:v> count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30A-450D-AFBF-DD2AB1FE5F9C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C8F-4983-BDA6-072A7D5CA278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8F-4983-BDA6-072A7D5CA2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BJ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'Repartition tranches CA'!$A$4:$A$6</c:f>
              <c:strCache>
                <c:ptCount val="3"/>
                <c:pt idx="0">
                  <c:v> Grosse vente </c:v>
                </c:pt>
                <c:pt idx="1">
                  <c:v> Vente moyenne </c:v>
                </c:pt>
                <c:pt idx="2">
                  <c:v> Petite vente </c:v>
                </c:pt>
              </c:strCache>
            </c:strRef>
          </c:cat>
          <c:val>
            <c:numRef>
              <c:f>'Repartition tranches CA'!$B$4:$B$6</c:f>
              <c:numCache>
                <c:formatCode>_(* #,##0_);_(* \(#,##0\);_(* "-"_);_(@_)</c:formatCode>
                <c:ptCount val="3"/>
                <c:pt idx="0">
                  <c:v>365</c:v>
                </c:pt>
                <c:pt idx="1">
                  <c:v>248</c:v>
                </c:pt>
                <c:pt idx="2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F-4983-BDA6-072A7D5CA27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Prix de base des produits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9123004194292357"/>
          <c:y val="0.11618611893965483"/>
          <c:w val="0.67868063036549209"/>
          <c:h val="0.849425452311224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'Produits prix superieur moy'!$B$3</c:f>
              <c:strCache>
                <c:ptCount val="1"/>
                <c:pt idx="0">
                  <c:v> prix_vente_base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0185067526415994E-16"/>
                  <c:y val="-3.2407407407407406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1465"/>
                        <a:gd name="adj2" fmla="val 21099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05D-4C8A-AC0C-31FBE7CF186A}"/>
                </c:ext>
              </c:extLst>
            </c:dLbl>
            <c:dLbl>
              <c:idx val="1"/>
              <c:layout>
                <c:manualLayout>
                  <c:x val="1.1111111111111112E-2"/>
                  <c:y val="-3.7037037037037035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4528"/>
                        <a:gd name="adj2" fmla="val 4219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405D-4C8A-AC0C-31FBE7CF186A}"/>
                </c:ext>
              </c:extLst>
            </c:dLbl>
            <c:dLbl>
              <c:idx val="2"/>
              <c:layout>
                <c:manualLayout>
                  <c:x val="1.1111111111111112E-2"/>
                  <c:y val="-1.8518518518518517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6089"/>
                        <a:gd name="adj2" fmla="val 30836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05D-4C8A-AC0C-31FBE7CF186A}"/>
                </c:ext>
              </c:extLst>
            </c:dLbl>
            <c:dLbl>
              <c:idx val="3"/>
              <c:layout>
                <c:manualLayout>
                  <c:x val="1.3888888888888888E-2"/>
                  <c:y val="-1.3888888888888931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8902"/>
                        <a:gd name="adj2" fmla="val 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05D-4C8A-AC0C-31FBE7CF186A}"/>
                </c:ext>
              </c:extLst>
            </c:dLbl>
            <c:dLbl>
              <c:idx val="4"/>
              <c:layout>
                <c:manualLayout>
                  <c:x val="1.3888888888888788E-2"/>
                  <c:y val="-3.2407407407407447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fr-BJ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3276"/>
                        <a:gd name="adj2" fmla="val 1623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05D-4C8A-AC0C-31FBE7CF186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BJ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'Produits prix superieur moy'!$A$4:$A$8</c:f>
              <c:strCache>
                <c:ptCount val="5"/>
                <c:pt idx="0">
                  <c:v> Ordinateur Portable Pro </c:v>
                </c:pt>
                <c:pt idx="1">
                  <c:v> Smartphone Premium </c:v>
                </c:pt>
                <c:pt idx="2">
                  <c:v> Ordinateur Portable Essentiel </c:v>
                </c:pt>
                <c:pt idx="3">
                  <c:v> Tablette 10 pouces </c:v>
                </c:pt>
                <c:pt idx="4">
                  <c:v> Smartphone Essentiel </c:v>
                </c:pt>
              </c:strCache>
            </c:strRef>
          </c:cat>
          <c:val>
            <c:numRef>
              <c:f>'Produits prix superieur moy'!$B$4:$B$8</c:f>
              <c:numCache>
                <c:formatCode>_(* #,##0_);_(* \(#,##0\);_(* "-"_);_(@_)</c:formatCode>
                <c:ptCount val="5"/>
                <c:pt idx="0">
                  <c:v>750000</c:v>
                </c:pt>
                <c:pt idx="1">
                  <c:v>420000</c:v>
                </c:pt>
                <c:pt idx="2">
                  <c:v>380000</c:v>
                </c:pt>
                <c:pt idx="3">
                  <c:v>220000</c:v>
                </c:pt>
                <c:pt idx="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D-4C8A-AC0C-31FBE7CF1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5083504"/>
        <c:axId val="705071984"/>
        <c:axId val="0"/>
      </c:bar3DChart>
      <c:catAx>
        <c:axId val="70508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05071984"/>
        <c:crosses val="autoZero"/>
        <c:auto val="1"/>
        <c:lblAlgn val="ctr"/>
        <c:lblOffset val="100"/>
        <c:noMultiLvlLbl val="0"/>
      </c:catAx>
      <c:valAx>
        <c:axId val="7050719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7050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100" b="1" i="0">
                <a:solidFill>
                  <a:srgbClr val="595959"/>
                </a:solidFill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defRPr>
            </a:pPr>
            <a:r>
              <a:rPr lang="fr-FR" sz="1100" b="1">
                <a:latin typeface="Century Gothic" panose="020B0502020202020204" pitchFamily="34" charset="0"/>
              </a:rPr>
              <a:t>Performance produit</a:t>
            </a:r>
            <a:endParaRPr lang="fr-BJ" sz="1100" b="1">
              <a:latin typeface="Century Gothic" panose="020B0502020202020204" pitchFamily="34" charset="0"/>
            </a:endParaRPr>
          </a:p>
        </cx:rich>
      </cx:tx>
    </cx:title>
    <cx:plotArea>
      <cx:plotAreaRegion>
        <cx:series layoutId="treemap" uniqueId="{6E8AF1C3-CEF1-42CA-856B-DAFFF546D8BA}">
          <cx:tx>
            <cx:txData>
              <cx:f>_xlchart.v1.1</cx:f>
              <cx:v> CA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1" i="0">
                    <a:solidFill>
                      <a:srgbClr val="FFFFFF"/>
                    </a:solidFill>
                    <a:latin typeface="Century Gothic" panose="020B0502020202020204" pitchFamily="34" charset="0"/>
                    <a:ea typeface="Century Gothic" panose="020B0502020202020204" pitchFamily="34" charset="0"/>
                    <a:cs typeface="Century Gothic" panose="020B0502020202020204" pitchFamily="34" charset="0"/>
                  </a:defRPr>
                </a:pPr>
                <a:endParaRPr lang="fr-BJ">
                  <a:latin typeface="Century Gothic" panose="020B0502020202020204" pitchFamily="34" charset="0"/>
                </a:endParaRPr>
              </a:p>
            </cx:txPr>
            <cx:visibility seriesName="0" categoryName="1" value="1"/>
            <cx:separator>.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>
              <a:solidFill>
                <a:schemeClr val="bg1"/>
              </a:solidFill>
              <a:latin typeface="Century Gothic" panose="020B0502020202020204" pitchFamily="34" charset="0"/>
              <a:ea typeface="Century Gothic" panose="020B0502020202020204" pitchFamily="34" charset="0"/>
              <a:cs typeface="Century Gothic" panose="020B0502020202020204" pitchFamily="34" charset="0"/>
            </a:defRPr>
          </a:pPr>
          <a:endParaRPr lang="fr-FR" sz="900" b="0" i="0" u="none" strike="noStrike" baseline="0">
            <a:solidFill>
              <a:schemeClr val="bg1"/>
            </a:solidFill>
            <a:latin typeface="Century Gothic" panose="020B0502020202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214312</xdr:rowOff>
    </xdr:from>
    <xdr:to>
      <xdr:col>12</xdr:col>
      <xdr:colOff>609599</xdr:colOff>
      <xdr:row>18</xdr:row>
      <xdr:rowOff>200025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965630-BAF5-BB1B-185C-5BFCC11C9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4761</xdr:rowOff>
    </xdr:from>
    <xdr:to>
      <xdr:col>14</xdr:col>
      <xdr:colOff>9525</xdr:colOff>
      <xdr:row>18</xdr:row>
      <xdr:rowOff>190499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2A1538-6185-4F69-0B91-225C89593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600074</xdr:colOff>
      <xdr:row>4</xdr:row>
      <xdr:rowOff>209550</xdr:rowOff>
    </xdr:from>
    <xdr:to>
      <xdr:col>19</xdr:col>
      <xdr:colOff>9525</xdr:colOff>
      <xdr:row>26</xdr:row>
      <xdr:rowOff>209550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047FC96-7B73-2A25-FFA6-316659214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600075</xdr:colOff>
      <xdr:row>1</xdr:row>
      <xdr:rowOff>209550</xdr:rowOff>
    </xdr:from>
    <xdr:to>
      <xdr:col>19</xdr:col>
      <xdr:colOff>9525</xdr:colOff>
      <xdr:row>4</xdr:row>
      <xdr:rowOff>95250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pays">
              <a:extLst>
                <a:ext uri="{FF2B5EF4-FFF2-40B4-BE49-F238E27FC236}">
                  <a16:creationId xmlns:a16="http://schemas.microsoft.com/office/drawing/2014/main" id="{F1926F09-C100-524C-114F-4212B0FFC3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8400" y="552450"/>
              <a:ext cx="7334250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J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14287</xdr:rowOff>
    </xdr:from>
    <xdr:to>
      <xdr:col>17</xdr:col>
      <xdr:colOff>333375</xdr:colOff>
      <xdr:row>25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FB0A3BBE-583C-1F12-BF6D-DB6A21AFC5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604837"/>
              <a:ext cx="7639050" cy="5176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J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3</xdr:row>
      <xdr:rowOff>4762</xdr:rowOff>
    </xdr:from>
    <xdr:to>
      <xdr:col>21</xdr:col>
      <xdr:colOff>209550</xdr:colOff>
      <xdr:row>27</xdr:row>
      <xdr:rowOff>200025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3FBB3F4-1375-B67C-BA92-35AED6CA7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590551</xdr:colOff>
      <xdr:row>0</xdr:row>
      <xdr:rowOff>47625</xdr:rowOff>
    </xdr:from>
    <xdr:to>
      <xdr:col>14</xdr:col>
      <xdr:colOff>342900</xdr:colOff>
      <xdr:row>2</xdr:row>
      <xdr:rowOff>152399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Annee">
              <a:extLst>
                <a:ext uri="{FF2B5EF4-FFF2-40B4-BE49-F238E27FC236}">
                  <a16:creationId xmlns:a16="http://schemas.microsoft.com/office/drawing/2014/main" id="{F2749009-4A1B-7B6B-F70E-A446A00132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0826" y="47625"/>
              <a:ext cx="2800349" cy="666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J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214312</xdr:rowOff>
    </xdr:from>
    <xdr:to>
      <xdr:col>15</xdr:col>
      <xdr:colOff>457200</xdr:colOff>
      <xdr:row>22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D4F80D-7528-843E-6C5E-CBB7899F2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561974</xdr:colOff>
      <xdr:row>1</xdr:row>
      <xdr:rowOff>195261</xdr:rowOff>
    </xdr:from>
    <xdr:to>
      <xdr:col>13</xdr:col>
      <xdr:colOff>609599</xdr:colOff>
      <xdr:row>20</xdr:row>
      <xdr:rowOff>9524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CE4B31-ABD2-8153-EF67-FC4E18C5A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ays" xr10:uid="{A2110221-77C5-4D25-817D-78209AFE0929}" sourceName="pays">
  <extLst>
    <x:ext xmlns:x15="http://schemas.microsoft.com/office/spreadsheetml/2010/11/main" uri="{2F2917AC-EB37-4324-AD4E-5DD8C200BD13}">
      <x15:tableSlicerCache tableId="9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ee" xr10:uid="{EDD99C2C-35C7-413F-A8ED-D881398FA5FF}" sourceName="annee">
  <extLst>
    <x:ext xmlns:x15="http://schemas.microsoft.com/office/spreadsheetml/2010/11/main" uri="{2F2917AC-EB37-4324-AD4E-5DD8C200BD13}">
      <x15:tableSlicerCache tableId="6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s" xr10:uid="{FA2BF3C0-B09B-4140-BAE6-E92907DE70FD}" cache="Segment_pays" caption="pays" columnCount="5" style="SlicerStyleOther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ee" xr10:uid="{CA0018BC-9DA3-4F0B-9C33-D8ADC93F2786}" cache="Segment_Annee" caption="annee" columnCount="2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64FF2-ABCC-41B5-A7AF-63BE2CBA512A}" name="Tableau1" displayName="Tableau1" ref="A3:B8" totalsRowShown="0" headerRowDxfId="41" dataDxfId="40" headerRowCellStyle="Milliers [0]" dataCellStyle="Milliers [0]">
  <autoFilter ref="A3:B8" xr:uid="{39D64FF2-ABCC-41B5-A7AF-63BE2CBA512A}">
    <filterColumn colId="0" hiddenButton="1"/>
    <filterColumn colId="1" hiddenButton="1"/>
  </autoFilter>
  <tableColumns count="2">
    <tableColumn id="1" xr3:uid="{B7EA033D-CD7E-4356-B26D-8DC8A4B85884}" name="pays" dataDxfId="39" dataCellStyle="Milliers [0]"/>
    <tableColumn id="2" xr3:uid="{83BAABD1-F9FE-4AB8-A16C-FE7150256A44}" name="CA" dataDxfId="38" dataCellStyle="Milliers [0]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0B3-D33B-4D48-AE08-1211FBDF944B}" name="Tableau2" displayName="Tableau2" ref="A3:C8" totalsRowShown="0" headerRowDxfId="37" dataDxfId="36" headerRowCellStyle="Milliers [0]" dataCellStyle="Milliers [0]">
  <autoFilter ref="A3:C8" xr:uid="{85F9E0B3-D33B-4D48-AE08-1211FBDF944B}">
    <filterColumn colId="0" hiddenButton="1"/>
    <filterColumn colId="1" hiddenButton="1"/>
    <filterColumn colId="2" hiddenButton="1"/>
  </autoFilter>
  <tableColumns count="3">
    <tableColumn id="1" xr3:uid="{E55B28A3-38EA-4054-AB88-4858007ECC09}" name="pays" dataDxfId="35" dataCellStyle="Milliers [0]"/>
    <tableColumn id="2" xr3:uid="{015917AB-22C3-4B39-B069-2649C01B20F2}" name="ca_total" dataDxfId="34" dataCellStyle="Milliers [0]"/>
    <tableColumn id="3" xr3:uid="{8D3FDB5F-58BE-4359-9318-B832E2D144DD}" name="rang" dataDxfId="33" dataCellStyle="Milliers [0]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02305C-DDB3-468C-9FC5-8024A4364E66}" name="Tableau3" displayName="Tableau3" ref="A3:B7" totalsRowShown="0" headerRowDxfId="32" dataDxfId="31" headerRowCellStyle="Milliers [0]" dataCellStyle="Milliers [0]">
  <autoFilter ref="A3:B7" xr:uid="{6702305C-DDB3-468C-9FC5-8024A4364E66}">
    <filterColumn colId="0" hiddenButton="1"/>
    <filterColumn colId="1" hiddenButton="1"/>
  </autoFilter>
  <tableColumns count="2">
    <tableColumn id="1" xr3:uid="{DF005C44-C9C9-4233-8C0E-2324D2AACB71}" name="categorie" dataDxfId="30" dataCellStyle="Milliers [0]"/>
    <tableColumn id="2" xr3:uid="{3F411C9D-056A-4B54-ABDE-CE2D1B73E6C7}" name="CA" dataDxfId="29" dataCellStyle="Milliers [0]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9127FF-DC32-464F-BC63-E89255A7D025}" name="Tableau9" displayName="Tableau9" ref="A3:E122" totalsRowShown="0" headerRowDxfId="28" dataDxfId="27" headerRowCellStyle="Milliers [0]" dataCellStyle="Milliers [0]">
  <autoFilter ref="A3:E122" xr:uid="{B19127FF-DC32-464F-BC63-E89255A7D02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B42F9D5-B71C-4319-A158-440D879ABDBE}" name="pays" dataDxfId="26" dataCellStyle="Milliers [0]"/>
    <tableColumn id="2" xr3:uid="{1FAA2FA0-DDB4-4DB5-B97E-CEA2B6BB804D}" name="mois" dataDxfId="25" dataCellStyle="Milliers [0]"/>
    <tableColumn id="3" xr3:uid="{3403153F-CF28-40C9-B5A5-C86C120B92D2}" name="CA" dataDxfId="24" dataCellStyle="Milliers [0]"/>
    <tableColumn id="4" xr3:uid="{C85CB280-B432-4A27-B1A9-67854F5CAEBA}" name="objectif_ca" dataDxfId="23" dataCellStyle="Milliers [0]"/>
    <tableColumn id="5" xr3:uid="{1238A9AF-100D-4DE7-837F-5F8130AA59C9}" name="ecart_pct" dataDxfId="22" dataCellStyle="Milliers [0]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FFCF63-1692-4324-90B2-6690F6B8E96B}" name="Tableau5" displayName="Tableau5" ref="A3:B8" totalsRowShown="0" headerRowDxfId="21" dataDxfId="20" headerRowCellStyle="Milliers [0]" dataCellStyle="Milliers [0]">
  <autoFilter ref="A3:B8" xr:uid="{8DFFCF63-1692-4324-90B2-6690F6B8E96B}">
    <filterColumn colId="0" hiddenButton="1"/>
    <filterColumn colId="1" hiddenButton="1"/>
  </autoFilter>
  <tableColumns count="2">
    <tableColumn id="1" xr3:uid="{B76A6CAD-20BE-44E1-A000-591E287DD370}" name="nom_produit" dataDxfId="19" dataCellStyle="Milliers [0]"/>
    <tableColumn id="2" xr3:uid="{2371BBAF-37CE-417D-9AEA-98B61C65806C}" name="CA" dataDxfId="18" dataCellStyle="Milliers [0]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15AA1A-2E0D-4CD3-9686-597A113FAFCF}" name="Tableau6" displayName="Tableau6" ref="A4:H28" totalsRowShown="0" headerRowDxfId="17" dataDxfId="16" headerRowCellStyle="Milliers [0]" dataCellStyle="Milliers [0]">
  <autoFilter ref="A4:H28" xr:uid="{8B15AA1A-2E0D-4CD3-9686-597A113FAF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D66590B-9ED0-4B17-8A98-0393A1B582BE}" name="mois" dataDxfId="15" dataCellStyle="Milliers [0]"/>
    <tableColumn id="2" xr3:uid="{DC69B190-D1C1-48B4-A11A-6615172EDD74}" name="ca_total" dataDxfId="14" dataCellStyle="Milliers [0]"/>
    <tableColumn id="3" xr3:uid="{91C2F383-047D-4E49-ADFC-4CF25276D7B1}" name="ca_precedent" dataDxfId="13" dataCellStyle="Milliers [0]"/>
    <tableColumn id="4" xr3:uid="{C04791E3-4C9B-4FC3-8882-B167C8023F3F}" name="variation_absolue" dataDxfId="12" dataCellStyle="Milliers [0]"/>
    <tableColumn id="5" xr3:uid="{6D6C9F71-7644-43AF-8CC5-FCBE6135F5BB}" name="variation_pct" dataDxfId="11" dataCellStyle="Milliers [0]"/>
    <tableColumn id="6" xr3:uid="{D2DD07BB-0C4A-4974-930F-89436DDDE212}" name="ca_cumule" dataDxfId="10" dataCellStyle="Milliers [0]"/>
    <tableColumn id="7" xr3:uid="{6C220905-B3A0-4AB3-9497-02C8E335CB93}" name="moyenne_mobile_3m" dataDxfId="9" dataCellStyle="Milliers [0]"/>
    <tableColumn id="8" xr3:uid="{1AFA8614-8FD9-4A7C-8434-3E7D85F97B18}" name="annee" dataDxfId="8" dataCellStyle="Milliers [0]">
      <calculatedColumnFormula>LEFT(Tableau6[[#This Row],[mois]],4)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B2FBA1-F271-40DC-B3AA-622FF8C6450E}" name="Tableau7" displayName="Tableau7" ref="A3:B6" totalsRowShown="0" headerRowDxfId="7" dataDxfId="6" headerRowCellStyle="Milliers [0]" dataCellStyle="Milliers [0]">
  <autoFilter ref="A3:B6" xr:uid="{89B2FBA1-F271-40DC-B3AA-622FF8C6450E}">
    <filterColumn colId="0" hiddenButton="1"/>
    <filterColumn colId="1" hiddenButton="1"/>
  </autoFilter>
  <tableColumns count="2">
    <tableColumn id="1" xr3:uid="{F2105404-9831-4E90-B1A8-C7C1A6A492B6}" name="classement_CA" dataDxfId="5" dataCellStyle="Milliers [0]"/>
    <tableColumn id="2" xr3:uid="{79BCE07C-4FA2-43AB-A54C-8FF25CE96C0A}" name="count" dataDxfId="4" dataCellStyle="Milliers [0]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8E6AFB-BF47-4C93-9FBC-9488B6E46993}" name="Tableau8" displayName="Tableau8" ref="A3:B8" totalsRowShown="0" headerRowDxfId="3" dataDxfId="2" headerRowCellStyle="Milliers [0]" dataCellStyle="Milliers [0]">
  <autoFilter ref="A3:B8" xr:uid="{D78E6AFB-BF47-4C93-9FBC-9488B6E46993}">
    <filterColumn colId="0" hiddenButton="1"/>
    <filterColumn colId="1" hiddenButton="1"/>
  </autoFilter>
  <tableColumns count="2">
    <tableColumn id="1" xr3:uid="{A2F2436C-6EE4-4B29-81F3-92D66278FAEA}" name="nom_produit" dataDxfId="1" dataCellStyle="Milliers [0]"/>
    <tableColumn id="2" xr3:uid="{DE21E5CD-997B-4147-B069-EB560A3E8BFE}" name="prix_vente_base" dataDxfId="0" dataCellStyle="Milliers [0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C1" sqref="AC1"/>
    </sheetView>
  </sheetViews>
  <sheetFormatPr baseColWidth="10" defaultColWidth="9.140625" defaultRowHeight="17.25" x14ac:dyDescent="0.3"/>
  <cols>
    <col min="1" max="1" width="17.28515625" style="1" bestFit="1" customWidth="1"/>
    <col min="2" max="2" width="15.42578125" style="1" bestFit="1" customWidth="1"/>
    <col min="3" max="16384" width="9.140625" style="1"/>
  </cols>
  <sheetData>
    <row r="1" spans="1:3" ht="27" customHeight="1" x14ac:dyDescent="0.3">
      <c r="A1" s="18" t="s">
        <v>58</v>
      </c>
      <c r="B1" s="18"/>
      <c r="C1" s="18"/>
    </row>
    <row r="3" spans="1:3" s="3" customFormat="1" ht="21.75" customHeight="1" x14ac:dyDescent="0.25">
      <c r="A3" s="3" t="s">
        <v>1</v>
      </c>
      <c r="B3" s="3" t="s">
        <v>0</v>
      </c>
    </row>
    <row r="4" spans="1:3" x14ac:dyDescent="0.3">
      <c r="A4" s="1" t="s">
        <v>2</v>
      </c>
      <c r="B4" s="1">
        <v>180662017.94999999</v>
      </c>
    </row>
    <row r="5" spans="1:3" x14ac:dyDescent="0.3">
      <c r="A5" s="1" t="s">
        <v>3</v>
      </c>
      <c r="B5" s="1">
        <v>173838740.59999999</v>
      </c>
    </row>
    <row r="6" spans="1:3" x14ac:dyDescent="0.3">
      <c r="A6" s="1" t="s">
        <v>4</v>
      </c>
      <c r="B6" s="1">
        <v>162010516.34999999</v>
      </c>
    </row>
    <row r="7" spans="1:3" x14ac:dyDescent="0.3">
      <c r="A7" s="1" t="s">
        <v>5</v>
      </c>
      <c r="B7" s="1">
        <v>159111083.84999999</v>
      </c>
    </row>
    <row r="8" spans="1:3" x14ac:dyDescent="0.3">
      <c r="A8" s="1" t="s">
        <v>6</v>
      </c>
      <c r="B8" s="1">
        <v>146930324.40000001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G19" sqref="G19"/>
    </sheetView>
  </sheetViews>
  <sheetFormatPr baseColWidth="10" defaultColWidth="9.140625" defaultRowHeight="17.25" x14ac:dyDescent="0.3"/>
  <cols>
    <col min="1" max="1" width="17.28515625" style="1" bestFit="1" customWidth="1"/>
    <col min="2" max="2" width="15.42578125" style="1" bestFit="1" customWidth="1"/>
    <col min="3" max="3" width="10.42578125" style="1" customWidth="1"/>
    <col min="4" max="16384" width="9.140625" style="1"/>
  </cols>
  <sheetData>
    <row r="1" spans="1:3" ht="26.25" customHeight="1" x14ac:dyDescent="0.3">
      <c r="A1" s="4" t="s">
        <v>59</v>
      </c>
      <c r="B1" s="4"/>
      <c r="C1" s="4"/>
    </row>
    <row r="3" spans="1:3" s="3" customFormat="1" ht="25.5" customHeight="1" x14ac:dyDescent="0.25">
      <c r="A3" s="3" t="s">
        <v>1</v>
      </c>
      <c r="B3" s="3" t="s">
        <v>7</v>
      </c>
      <c r="C3" s="3" t="s">
        <v>8</v>
      </c>
    </row>
    <row r="4" spans="1:3" x14ac:dyDescent="0.3">
      <c r="A4" s="1" t="s">
        <v>2</v>
      </c>
      <c r="B4" s="1">
        <v>180662017.94999999</v>
      </c>
      <c r="C4" s="1">
        <v>1</v>
      </c>
    </row>
    <row r="5" spans="1:3" x14ac:dyDescent="0.3">
      <c r="A5" s="1" t="s">
        <v>3</v>
      </c>
      <c r="B5" s="1">
        <v>173838740.59999999</v>
      </c>
      <c r="C5" s="1">
        <v>2</v>
      </c>
    </row>
    <row r="6" spans="1:3" x14ac:dyDescent="0.3">
      <c r="A6" s="1" t="s">
        <v>4</v>
      </c>
      <c r="B6" s="1">
        <v>162010516.34999999</v>
      </c>
      <c r="C6" s="1">
        <v>3</v>
      </c>
    </row>
    <row r="7" spans="1:3" x14ac:dyDescent="0.3">
      <c r="A7" s="1" t="s">
        <v>5</v>
      </c>
      <c r="B7" s="1">
        <v>159111083.84999999</v>
      </c>
      <c r="C7" s="1">
        <v>4</v>
      </c>
    </row>
    <row r="8" spans="1:3" x14ac:dyDescent="0.3">
      <c r="A8" s="1" t="s">
        <v>6</v>
      </c>
      <c r="B8" s="1">
        <v>146930324.40000001</v>
      </c>
      <c r="C8" s="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B16" sqref="B16"/>
    </sheetView>
  </sheetViews>
  <sheetFormatPr baseColWidth="10" defaultColWidth="9.140625" defaultRowHeight="17.25" x14ac:dyDescent="0.3"/>
  <cols>
    <col min="1" max="1" width="17.42578125" style="1" bestFit="1" customWidth="1"/>
    <col min="2" max="2" width="15.42578125" style="1" bestFit="1" customWidth="1"/>
    <col min="3" max="16384" width="9.140625" style="1"/>
  </cols>
  <sheetData>
    <row r="1" spans="1:3" ht="30.75" customHeight="1" x14ac:dyDescent="0.3">
      <c r="A1" s="4" t="s">
        <v>66</v>
      </c>
      <c r="B1" s="4"/>
      <c r="C1" s="4"/>
    </row>
    <row r="3" spans="1:3" ht="27" customHeight="1" x14ac:dyDescent="0.3">
      <c r="A3" s="3" t="s">
        <v>9</v>
      </c>
      <c r="B3" s="3" t="s">
        <v>0</v>
      </c>
    </row>
    <row r="4" spans="1:3" x14ac:dyDescent="0.3">
      <c r="A4" s="1" t="s">
        <v>10</v>
      </c>
      <c r="B4" s="1">
        <v>504324948.35000002</v>
      </c>
    </row>
    <row r="5" spans="1:3" x14ac:dyDescent="0.3">
      <c r="A5" s="1" t="s">
        <v>11</v>
      </c>
      <c r="B5" s="1">
        <v>235412322.80000001</v>
      </c>
    </row>
    <row r="6" spans="1:3" x14ac:dyDescent="0.3">
      <c r="A6" s="1" t="s">
        <v>12</v>
      </c>
      <c r="B6" s="1">
        <v>59468940.850000001</v>
      </c>
    </row>
    <row r="7" spans="1:3" x14ac:dyDescent="0.3">
      <c r="A7" s="1" t="s">
        <v>13</v>
      </c>
      <c r="B7" s="1">
        <v>23346471.149999999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2"/>
  <sheetViews>
    <sheetView workbookViewId="0">
      <selection activeCell="F1" sqref="F1"/>
    </sheetView>
  </sheetViews>
  <sheetFormatPr baseColWidth="10" defaultColWidth="9.140625" defaultRowHeight="17.25" x14ac:dyDescent="0.3"/>
  <cols>
    <col min="1" max="1" width="17.28515625" style="1" bestFit="1" customWidth="1"/>
    <col min="2" max="2" width="11.140625" style="1" bestFit="1" customWidth="1"/>
    <col min="3" max="3" width="14.140625" style="1" bestFit="1" customWidth="1"/>
    <col min="4" max="4" width="17.42578125" style="1" customWidth="1"/>
    <col min="5" max="5" width="15.5703125" style="1" customWidth="1"/>
    <col min="6" max="16384" width="9.140625" style="1"/>
  </cols>
  <sheetData>
    <row r="1" spans="1:5" ht="27" customHeight="1" x14ac:dyDescent="0.3">
      <c r="A1" s="4" t="s">
        <v>60</v>
      </c>
      <c r="B1" s="4"/>
      <c r="C1" s="4"/>
      <c r="D1" s="19"/>
    </row>
    <row r="3" spans="1:5" s="3" customFormat="1" ht="25.5" customHeight="1" thickBot="1" x14ac:dyDescent="0.3">
      <c r="A3" s="7" t="s">
        <v>1</v>
      </c>
      <c r="B3" s="8" t="s">
        <v>14</v>
      </c>
      <c r="C3" s="8" t="s">
        <v>0</v>
      </c>
      <c r="D3" s="8" t="s">
        <v>15</v>
      </c>
      <c r="E3" s="8" t="s">
        <v>16</v>
      </c>
    </row>
    <row r="4" spans="1:5" ht="18" thickTop="1" x14ac:dyDescent="0.3">
      <c r="A4" s="9" t="s">
        <v>3</v>
      </c>
      <c r="B4" s="10" t="s">
        <v>17</v>
      </c>
      <c r="C4" s="10">
        <v>9900064.4000000004</v>
      </c>
      <c r="D4" s="10">
        <v>3989739</v>
      </c>
      <c r="E4" s="11">
        <v>2.4813814638000129</v>
      </c>
    </row>
    <row r="5" spans="1:5" x14ac:dyDescent="0.3">
      <c r="A5" s="12" t="s">
        <v>3</v>
      </c>
      <c r="B5" s="13" t="s">
        <v>18</v>
      </c>
      <c r="C5" s="13">
        <v>5310687</v>
      </c>
      <c r="D5" s="13">
        <v>3280466</v>
      </c>
      <c r="E5" s="14">
        <v>1.6188818905606699</v>
      </c>
    </row>
    <row r="6" spans="1:5" x14ac:dyDescent="0.3">
      <c r="A6" s="15" t="s">
        <v>3</v>
      </c>
      <c r="B6" s="16" t="s">
        <v>19</v>
      </c>
      <c r="C6" s="16">
        <v>2464325.2999999998</v>
      </c>
      <c r="D6" s="16">
        <v>3151680</v>
      </c>
      <c r="E6" s="17">
        <v>0.78190847421057974</v>
      </c>
    </row>
    <row r="7" spans="1:5" x14ac:dyDescent="0.3">
      <c r="A7" s="12" t="s">
        <v>3</v>
      </c>
      <c r="B7" s="13" t="s">
        <v>20</v>
      </c>
      <c r="C7" s="13">
        <v>8383525.3000000007</v>
      </c>
      <c r="D7" s="13">
        <v>3738958</v>
      </c>
      <c r="E7" s="14">
        <v>2.242209005824618</v>
      </c>
    </row>
    <row r="8" spans="1:5" x14ac:dyDescent="0.3">
      <c r="A8" s="15" t="s">
        <v>3</v>
      </c>
      <c r="B8" s="16" t="s">
        <v>21</v>
      </c>
      <c r="C8" s="16">
        <v>1367832.15</v>
      </c>
      <c r="D8" s="16">
        <v>4463790</v>
      </c>
      <c r="E8" s="17">
        <v>0.30642842741257992</v>
      </c>
    </row>
    <row r="9" spans="1:5" x14ac:dyDescent="0.3">
      <c r="A9" s="12" t="s">
        <v>3</v>
      </c>
      <c r="B9" s="13" t="s">
        <v>22</v>
      </c>
      <c r="C9" s="13">
        <v>2478150.35</v>
      </c>
      <c r="D9" s="13">
        <v>4276469</v>
      </c>
      <c r="E9" s="14">
        <v>0.57948516638376191</v>
      </c>
    </row>
    <row r="10" spans="1:5" x14ac:dyDescent="0.3">
      <c r="A10" s="15" t="s">
        <v>3</v>
      </c>
      <c r="B10" s="16" t="s">
        <v>23</v>
      </c>
      <c r="C10" s="16">
        <v>13402386.9</v>
      </c>
      <c r="D10" s="16">
        <v>3745685</v>
      </c>
      <c r="E10" s="17">
        <v>3.5780870254706412</v>
      </c>
    </row>
    <row r="11" spans="1:5" x14ac:dyDescent="0.3">
      <c r="A11" s="12" t="s">
        <v>3</v>
      </c>
      <c r="B11" s="13" t="s">
        <v>24</v>
      </c>
      <c r="C11" s="13">
        <v>7035059</v>
      </c>
      <c r="D11" s="13">
        <v>3987609</v>
      </c>
      <c r="E11" s="14">
        <v>1.7642298931515099</v>
      </c>
    </row>
    <row r="12" spans="1:5" x14ac:dyDescent="0.3">
      <c r="A12" s="15" t="s">
        <v>3</v>
      </c>
      <c r="B12" s="16" t="s">
        <v>25</v>
      </c>
      <c r="C12" s="16">
        <v>6775835.4000000004</v>
      </c>
      <c r="D12" s="16">
        <v>3159960</v>
      </c>
      <c r="E12" s="17">
        <v>2.144278851631034</v>
      </c>
    </row>
    <row r="13" spans="1:5" x14ac:dyDescent="0.3">
      <c r="A13" s="12" t="s">
        <v>3</v>
      </c>
      <c r="B13" s="13" t="s">
        <v>26</v>
      </c>
      <c r="C13" s="13">
        <v>4482580.8</v>
      </c>
      <c r="D13" s="13">
        <v>4276002</v>
      </c>
      <c r="E13" s="14">
        <v>1.048311202847894</v>
      </c>
    </row>
    <row r="14" spans="1:5" x14ac:dyDescent="0.3">
      <c r="A14" s="15" t="s">
        <v>3</v>
      </c>
      <c r="B14" s="16" t="s">
        <v>27</v>
      </c>
      <c r="C14" s="16">
        <v>11143991.449999999</v>
      </c>
      <c r="D14" s="16">
        <v>3515824</v>
      </c>
      <c r="E14" s="17">
        <v>3.169667039647035</v>
      </c>
    </row>
    <row r="15" spans="1:5" x14ac:dyDescent="0.3">
      <c r="A15" s="12" t="s">
        <v>3</v>
      </c>
      <c r="B15" s="13" t="s">
        <v>28</v>
      </c>
      <c r="C15" s="13">
        <v>9067726.1999999993</v>
      </c>
      <c r="D15" s="13">
        <v>3706436</v>
      </c>
      <c r="E15" s="14">
        <v>2.4464812558479361</v>
      </c>
    </row>
    <row r="16" spans="1:5" x14ac:dyDescent="0.3">
      <c r="A16" s="15" t="s">
        <v>3</v>
      </c>
      <c r="B16" s="16" t="s">
        <v>29</v>
      </c>
      <c r="C16" s="16">
        <v>9946550.3000000007</v>
      </c>
      <c r="D16" s="16">
        <v>3932731</v>
      </c>
      <c r="E16" s="17">
        <v>2.5291712807206999</v>
      </c>
    </row>
    <row r="17" spans="1:5" x14ac:dyDescent="0.3">
      <c r="A17" s="12" t="s">
        <v>3</v>
      </c>
      <c r="B17" s="13" t="s">
        <v>30</v>
      </c>
      <c r="C17" s="13">
        <v>5437557.25</v>
      </c>
      <c r="D17" s="13">
        <v>3707382</v>
      </c>
      <c r="E17" s="14">
        <v>1.466683835115993</v>
      </c>
    </row>
    <row r="18" spans="1:5" x14ac:dyDescent="0.3">
      <c r="A18" s="15" t="s">
        <v>3</v>
      </c>
      <c r="B18" s="16" t="s">
        <v>31</v>
      </c>
      <c r="C18" s="16">
        <v>6594720.4000000004</v>
      </c>
      <c r="D18" s="16">
        <v>4246353</v>
      </c>
      <c r="E18" s="17">
        <v>1.5530316014707211</v>
      </c>
    </row>
    <row r="19" spans="1:5" x14ac:dyDescent="0.3">
      <c r="A19" s="12" t="s">
        <v>3</v>
      </c>
      <c r="B19" s="13" t="s">
        <v>32</v>
      </c>
      <c r="C19" s="13">
        <v>560805.19999999995</v>
      </c>
      <c r="D19" s="13">
        <v>4271195</v>
      </c>
      <c r="E19" s="14">
        <v>0.1312993670389668</v>
      </c>
    </row>
    <row r="20" spans="1:5" x14ac:dyDescent="0.3">
      <c r="A20" s="15" t="s">
        <v>3</v>
      </c>
      <c r="B20" s="16" t="s">
        <v>33</v>
      </c>
      <c r="C20" s="16">
        <v>22951693.449999999</v>
      </c>
      <c r="D20" s="16">
        <v>4040227</v>
      </c>
      <c r="E20" s="17">
        <v>5.6807930470243377</v>
      </c>
    </row>
    <row r="21" spans="1:5" x14ac:dyDescent="0.3">
      <c r="A21" s="12" t="s">
        <v>3</v>
      </c>
      <c r="B21" s="13" t="s">
        <v>34</v>
      </c>
      <c r="C21" s="13">
        <v>11608976.9</v>
      </c>
      <c r="D21" s="13">
        <v>3273397</v>
      </c>
      <c r="E21" s="14">
        <v>3.546461642141177</v>
      </c>
    </row>
    <row r="22" spans="1:5" x14ac:dyDescent="0.3">
      <c r="A22" s="15" t="s">
        <v>3</v>
      </c>
      <c r="B22" s="16" t="s">
        <v>35</v>
      </c>
      <c r="C22" s="16">
        <v>8866049.3000000007</v>
      </c>
      <c r="D22" s="16">
        <v>4452959</v>
      </c>
      <c r="E22" s="17">
        <v>1.991046695017852</v>
      </c>
    </row>
    <row r="23" spans="1:5" x14ac:dyDescent="0.3">
      <c r="A23" s="12" t="s">
        <v>3</v>
      </c>
      <c r="B23" s="13" t="s">
        <v>36</v>
      </c>
      <c r="C23" s="13">
        <v>2858334.2</v>
      </c>
      <c r="D23" s="13">
        <v>3230448</v>
      </c>
      <c r="E23" s="14">
        <v>0.88481046591680168</v>
      </c>
    </row>
    <row r="24" spans="1:5" x14ac:dyDescent="0.3">
      <c r="A24" s="15" t="s">
        <v>3</v>
      </c>
      <c r="B24" s="16" t="s">
        <v>37</v>
      </c>
      <c r="C24" s="16">
        <v>3268926.45</v>
      </c>
      <c r="D24" s="16">
        <v>4340795</v>
      </c>
      <c r="E24" s="17">
        <v>0.75307091212554389</v>
      </c>
    </row>
    <row r="25" spans="1:5" x14ac:dyDescent="0.3">
      <c r="A25" s="12" t="s">
        <v>3</v>
      </c>
      <c r="B25" s="13" t="s">
        <v>38</v>
      </c>
      <c r="C25" s="13">
        <v>4473137.9000000004</v>
      </c>
      <c r="D25" s="13">
        <v>3864767</v>
      </c>
      <c r="E25" s="14">
        <v>1.1574146384503901</v>
      </c>
    </row>
    <row r="26" spans="1:5" x14ac:dyDescent="0.3">
      <c r="A26" s="15" t="s">
        <v>3</v>
      </c>
      <c r="B26" s="16" t="s">
        <v>39</v>
      </c>
      <c r="C26" s="16">
        <v>3035998.95</v>
      </c>
      <c r="D26" s="16">
        <v>4067027</v>
      </c>
      <c r="E26" s="17">
        <v>0.74649097485706384</v>
      </c>
    </row>
    <row r="27" spans="1:5" x14ac:dyDescent="0.3">
      <c r="A27" s="12" t="s">
        <v>3</v>
      </c>
      <c r="B27" s="13" t="s">
        <v>40</v>
      </c>
      <c r="C27" s="13">
        <v>12423826.050000001</v>
      </c>
      <c r="D27" s="13">
        <v>4087527</v>
      </c>
      <c r="E27" s="14">
        <v>3.0394480697008239</v>
      </c>
    </row>
    <row r="28" spans="1:5" x14ac:dyDescent="0.3">
      <c r="A28" s="15" t="s">
        <v>2</v>
      </c>
      <c r="B28" s="16" t="s">
        <v>17</v>
      </c>
      <c r="C28" s="16">
        <v>3286762.8</v>
      </c>
      <c r="D28" s="16">
        <v>5562860</v>
      </c>
      <c r="E28" s="17">
        <v>0.59084046695404879</v>
      </c>
    </row>
    <row r="29" spans="1:5" x14ac:dyDescent="0.3">
      <c r="A29" s="12" t="s">
        <v>2</v>
      </c>
      <c r="B29" s="13" t="s">
        <v>18</v>
      </c>
      <c r="C29" s="13">
        <v>2256262.75</v>
      </c>
      <c r="D29" s="13">
        <v>6303970</v>
      </c>
      <c r="E29" s="14">
        <v>0.35791140344893768</v>
      </c>
    </row>
    <row r="30" spans="1:5" x14ac:dyDescent="0.3">
      <c r="A30" s="15" t="s">
        <v>2</v>
      </c>
      <c r="B30" s="16" t="s">
        <v>19</v>
      </c>
      <c r="C30" s="16">
        <v>13366393.949999999</v>
      </c>
      <c r="D30" s="16">
        <v>5857119</v>
      </c>
      <c r="E30" s="17">
        <v>2.2820765550435289</v>
      </c>
    </row>
    <row r="31" spans="1:5" x14ac:dyDescent="0.3">
      <c r="A31" s="12" t="s">
        <v>2</v>
      </c>
      <c r="B31" s="13" t="s">
        <v>20</v>
      </c>
      <c r="C31" s="13">
        <v>5181830.3</v>
      </c>
      <c r="D31" s="13">
        <v>5895286</v>
      </c>
      <c r="E31" s="14">
        <v>0.87897861104618158</v>
      </c>
    </row>
    <row r="32" spans="1:5" x14ac:dyDescent="0.3">
      <c r="A32" s="15" t="s">
        <v>2</v>
      </c>
      <c r="B32" s="16" t="s">
        <v>21</v>
      </c>
      <c r="C32" s="16">
        <v>10734615.800000001</v>
      </c>
      <c r="D32" s="16">
        <v>6037343</v>
      </c>
      <c r="E32" s="17">
        <v>1.778036430926651</v>
      </c>
    </row>
    <row r="33" spans="1:5" x14ac:dyDescent="0.3">
      <c r="A33" s="12" t="s">
        <v>2</v>
      </c>
      <c r="B33" s="13" t="s">
        <v>22</v>
      </c>
      <c r="C33" s="13">
        <v>357074</v>
      </c>
      <c r="D33" s="13">
        <v>6174381</v>
      </c>
      <c r="E33" s="14">
        <v>5.7831546190622182E-2</v>
      </c>
    </row>
    <row r="34" spans="1:5" x14ac:dyDescent="0.3">
      <c r="A34" s="15" t="s">
        <v>2</v>
      </c>
      <c r="B34" s="16" t="s">
        <v>23</v>
      </c>
      <c r="C34" s="16">
        <v>3696287.5</v>
      </c>
      <c r="D34" s="16">
        <v>6031718</v>
      </c>
      <c r="E34" s="17">
        <v>0.61280840715696594</v>
      </c>
    </row>
    <row r="35" spans="1:5" x14ac:dyDescent="0.3">
      <c r="A35" s="12" t="s">
        <v>2</v>
      </c>
      <c r="B35" s="13" t="s">
        <v>24</v>
      </c>
      <c r="C35" s="13">
        <v>1414070.8</v>
      </c>
      <c r="D35" s="13">
        <v>5015610</v>
      </c>
      <c r="E35" s="14">
        <v>0.28193396217010491</v>
      </c>
    </row>
    <row r="36" spans="1:5" x14ac:dyDescent="0.3">
      <c r="A36" s="15" t="s">
        <v>2</v>
      </c>
      <c r="B36" s="16" t="s">
        <v>25</v>
      </c>
      <c r="C36" s="16">
        <v>9818621.8000000007</v>
      </c>
      <c r="D36" s="16">
        <v>5539524</v>
      </c>
      <c r="E36" s="17">
        <v>1.7724666956944319</v>
      </c>
    </row>
    <row r="37" spans="1:5" x14ac:dyDescent="0.3">
      <c r="A37" s="12" t="s">
        <v>2</v>
      </c>
      <c r="B37" s="13" t="s">
        <v>26</v>
      </c>
      <c r="C37" s="13">
        <v>16476193.800000001</v>
      </c>
      <c r="D37" s="13">
        <v>4713166</v>
      </c>
      <c r="E37" s="14">
        <v>3.4957805008353202</v>
      </c>
    </row>
    <row r="38" spans="1:5" x14ac:dyDescent="0.3">
      <c r="A38" s="15" t="s">
        <v>2</v>
      </c>
      <c r="B38" s="16" t="s">
        <v>27</v>
      </c>
      <c r="C38" s="16">
        <v>7910122.4000000004</v>
      </c>
      <c r="D38" s="16">
        <v>5629340</v>
      </c>
      <c r="E38" s="17">
        <v>1.4051598233540701</v>
      </c>
    </row>
    <row r="39" spans="1:5" x14ac:dyDescent="0.3">
      <c r="A39" s="12" t="s">
        <v>2</v>
      </c>
      <c r="B39" s="13" t="s">
        <v>28</v>
      </c>
      <c r="C39" s="13">
        <v>15794177.9</v>
      </c>
      <c r="D39" s="13">
        <v>5604210</v>
      </c>
      <c r="E39" s="14">
        <v>2.8182701754573789</v>
      </c>
    </row>
    <row r="40" spans="1:5" x14ac:dyDescent="0.3">
      <c r="A40" s="15" t="s">
        <v>2</v>
      </c>
      <c r="B40" s="16" t="s">
        <v>29</v>
      </c>
      <c r="C40" s="16">
        <v>3790968.3</v>
      </c>
      <c r="D40" s="16">
        <v>6477017</v>
      </c>
      <c r="E40" s="17">
        <v>0.58529540682076331</v>
      </c>
    </row>
    <row r="41" spans="1:5" x14ac:dyDescent="0.3">
      <c r="A41" s="12" t="s">
        <v>2</v>
      </c>
      <c r="B41" s="13" t="s">
        <v>30</v>
      </c>
      <c r="C41" s="13">
        <v>7230813.6500000004</v>
      </c>
      <c r="D41" s="13">
        <v>6227661</v>
      </c>
      <c r="E41" s="14">
        <v>1.1610801631623811</v>
      </c>
    </row>
    <row r="42" spans="1:5" x14ac:dyDescent="0.3">
      <c r="A42" s="15" t="s">
        <v>2</v>
      </c>
      <c r="B42" s="16" t="s">
        <v>31</v>
      </c>
      <c r="C42" s="16">
        <v>7024215.9500000002</v>
      </c>
      <c r="D42" s="16">
        <v>4700557</v>
      </c>
      <c r="E42" s="17">
        <v>1.494336937090647</v>
      </c>
    </row>
    <row r="43" spans="1:5" x14ac:dyDescent="0.3">
      <c r="A43" s="12" t="s">
        <v>2</v>
      </c>
      <c r="B43" s="13" t="s">
        <v>32</v>
      </c>
      <c r="C43" s="13">
        <v>9739079.3999999985</v>
      </c>
      <c r="D43" s="13">
        <v>5869129</v>
      </c>
      <c r="E43" s="14">
        <v>1.659373886653368</v>
      </c>
    </row>
    <row r="44" spans="1:5" x14ac:dyDescent="0.3">
      <c r="A44" s="15" t="s">
        <v>2</v>
      </c>
      <c r="B44" s="16" t="s">
        <v>33</v>
      </c>
      <c r="C44" s="16">
        <v>4233669.3999999994</v>
      </c>
      <c r="D44" s="16">
        <v>6146511</v>
      </c>
      <c r="E44" s="17">
        <v>0.68879229208245119</v>
      </c>
    </row>
    <row r="45" spans="1:5" x14ac:dyDescent="0.3">
      <c r="A45" s="12" t="s">
        <v>2</v>
      </c>
      <c r="B45" s="13" t="s">
        <v>34</v>
      </c>
      <c r="C45" s="13">
        <v>7488656.6499999994</v>
      </c>
      <c r="D45" s="13">
        <v>5241670</v>
      </c>
      <c r="E45" s="14">
        <v>1.4286776256422089</v>
      </c>
    </row>
    <row r="46" spans="1:5" x14ac:dyDescent="0.3">
      <c r="A46" s="15" t="s">
        <v>2</v>
      </c>
      <c r="B46" s="16" t="s">
        <v>35</v>
      </c>
      <c r="C46" s="16">
        <v>1845281.95</v>
      </c>
      <c r="D46" s="16">
        <v>5812350</v>
      </c>
      <c r="E46" s="17">
        <v>0.31747605529605072</v>
      </c>
    </row>
    <row r="47" spans="1:5" x14ac:dyDescent="0.3">
      <c r="A47" s="12" t="s">
        <v>2</v>
      </c>
      <c r="B47" s="13" t="s">
        <v>36</v>
      </c>
      <c r="C47" s="13">
        <v>13545847.65</v>
      </c>
      <c r="D47" s="13">
        <v>4850542</v>
      </c>
      <c r="E47" s="14">
        <v>2.792646192940913</v>
      </c>
    </row>
    <row r="48" spans="1:5" x14ac:dyDescent="0.3">
      <c r="A48" s="15" t="s">
        <v>2</v>
      </c>
      <c r="B48" s="16" t="s">
        <v>37</v>
      </c>
      <c r="C48" s="16">
        <v>4990931.7</v>
      </c>
      <c r="D48" s="16">
        <v>5536307</v>
      </c>
      <c r="E48" s="17">
        <v>0.90149113840688389</v>
      </c>
    </row>
    <row r="49" spans="1:5" x14ac:dyDescent="0.3">
      <c r="A49" s="12" t="s">
        <v>2</v>
      </c>
      <c r="B49" s="13" t="s">
        <v>38</v>
      </c>
      <c r="C49" s="13">
        <v>4175344.75</v>
      </c>
      <c r="D49" s="13">
        <v>5730380</v>
      </c>
      <c r="E49" s="14">
        <v>0.72863313602239288</v>
      </c>
    </row>
    <row r="50" spans="1:5" x14ac:dyDescent="0.3">
      <c r="A50" s="15" t="s">
        <v>2</v>
      </c>
      <c r="B50" s="16" t="s">
        <v>39</v>
      </c>
      <c r="C50" s="16">
        <v>14591959.550000001</v>
      </c>
      <c r="D50" s="16">
        <v>4673686</v>
      </c>
      <c r="E50" s="17">
        <v>3.1221523119011421</v>
      </c>
    </row>
    <row r="51" spans="1:5" x14ac:dyDescent="0.3">
      <c r="A51" s="12" t="s">
        <v>2</v>
      </c>
      <c r="B51" s="13" t="s">
        <v>40</v>
      </c>
      <c r="C51" s="13">
        <v>11712835.199999999</v>
      </c>
      <c r="D51" s="13">
        <v>4900621</v>
      </c>
      <c r="E51" s="14">
        <v>2.3900716256164269</v>
      </c>
    </row>
    <row r="52" spans="1:5" x14ac:dyDescent="0.3">
      <c r="A52" s="15" t="s">
        <v>4</v>
      </c>
      <c r="B52" s="16" t="s">
        <v>17</v>
      </c>
      <c r="C52" s="16">
        <v>9398917.1999999993</v>
      </c>
      <c r="D52" s="16"/>
      <c r="E52" s="17"/>
    </row>
    <row r="53" spans="1:5" x14ac:dyDescent="0.3">
      <c r="A53" s="12" t="s">
        <v>4</v>
      </c>
      <c r="B53" s="13" t="s">
        <v>18</v>
      </c>
      <c r="C53" s="13">
        <v>10856782.050000001</v>
      </c>
      <c r="D53" s="13"/>
      <c r="E53" s="14"/>
    </row>
    <row r="54" spans="1:5" x14ac:dyDescent="0.3">
      <c r="A54" s="15" t="s">
        <v>4</v>
      </c>
      <c r="B54" s="16" t="s">
        <v>19</v>
      </c>
      <c r="C54" s="16">
        <v>1802019.1</v>
      </c>
      <c r="D54" s="16"/>
      <c r="E54" s="17"/>
    </row>
    <row r="55" spans="1:5" x14ac:dyDescent="0.3">
      <c r="A55" s="12" t="s">
        <v>4</v>
      </c>
      <c r="B55" s="13" t="s">
        <v>20</v>
      </c>
      <c r="C55" s="13">
        <v>5033065.8999999994</v>
      </c>
      <c r="D55" s="13"/>
      <c r="E55" s="14"/>
    </row>
    <row r="56" spans="1:5" x14ac:dyDescent="0.3">
      <c r="A56" s="15" t="s">
        <v>4</v>
      </c>
      <c r="B56" s="16" t="s">
        <v>21</v>
      </c>
      <c r="C56" s="16">
        <v>6377599.9000000004</v>
      </c>
      <c r="D56" s="16"/>
      <c r="E56" s="17"/>
    </row>
    <row r="57" spans="1:5" x14ac:dyDescent="0.3">
      <c r="A57" s="12" t="s">
        <v>4</v>
      </c>
      <c r="B57" s="13" t="s">
        <v>22</v>
      </c>
      <c r="C57" s="13">
        <v>8844402</v>
      </c>
      <c r="D57" s="13"/>
      <c r="E57" s="14"/>
    </row>
    <row r="58" spans="1:5" x14ac:dyDescent="0.3">
      <c r="A58" s="15" t="s">
        <v>4</v>
      </c>
      <c r="B58" s="16" t="s">
        <v>23</v>
      </c>
      <c r="C58" s="16">
        <v>11826447.550000001</v>
      </c>
      <c r="D58" s="16">
        <v>4667635</v>
      </c>
      <c r="E58" s="17">
        <v>2.533713015263618</v>
      </c>
    </row>
    <row r="59" spans="1:5" x14ac:dyDescent="0.3">
      <c r="A59" s="12" t="s">
        <v>4</v>
      </c>
      <c r="B59" s="13" t="s">
        <v>24</v>
      </c>
      <c r="C59" s="13">
        <v>7011807.25</v>
      </c>
      <c r="D59" s="13">
        <v>5987291</v>
      </c>
      <c r="E59" s="14">
        <v>1.171115158758778</v>
      </c>
    </row>
    <row r="60" spans="1:5" x14ac:dyDescent="0.3">
      <c r="A60" s="15" t="s">
        <v>4</v>
      </c>
      <c r="B60" s="16" t="s">
        <v>25</v>
      </c>
      <c r="C60" s="16">
        <v>6694365.1499999994</v>
      </c>
      <c r="D60" s="16">
        <v>4910837</v>
      </c>
      <c r="E60" s="17">
        <v>1.363182111318294</v>
      </c>
    </row>
    <row r="61" spans="1:5" x14ac:dyDescent="0.3">
      <c r="A61" s="12" t="s">
        <v>4</v>
      </c>
      <c r="B61" s="13" t="s">
        <v>26</v>
      </c>
      <c r="C61" s="13">
        <v>5057454.8499999996</v>
      </c>
      <c r="D61" s="13">
        <v>5670740</v>
      </c>
      <c r="E61" s="14">
        <v>0.89185094890613914</v>
      </c>
    </row>
    <row r="62" spans="1:5" x14ac:dyDescent="0.3">
      <c r="A62" s="15" t="s">
        <v>4</v>
      </c>
      <c r="B62" s="16" t="s">
        <v>27</v>
      </c>
      <c r="C62" s="16">
        <v>4574455.8</v>
      </c>
      <c r="D62" s="16">
        <v>6483597</v>
      </c>
      <c r="E62" s="17">
        <v>0.70554289540204296</v>
      </c>
    </row>
    <row r="63" spans="1:5" x14ac:dyDescent="0.3">
      <c r="A63" s="12" t="s">
        <v>4</v>
      </c>
      <c r="B63" s="13" t="s">
        <v>28</v>
      </c>
      <c r="C63" s="13">
        <v>3633686.35</v>
      </c>
      <c r="D63" s="13">
        <v>4857439</v>
      </c>
      <c r="E63" s="14">
        <v>0.74806628554676657</v>
      </c>
    </row>
    <row r="64" spans="1:5" x14ac:dyDescent="0.3">
      <c r="A64" s="15" t="s">
        <v>4</v>
      </c>
      <c r="B64" s="16" t="s">
        <v>29</v>
      </c>
      <c r="C64" s="16">
        <v>8455460.1999999993</v>
      </c>
      <c r="D64" s="16">
        <v>6048389</v>
      </c>
      <c r="E64" s="17">
        <v>1.397968979839094</v>
      </c>
    </row>
    <row r="65" spans="1:5" x14ac:dyDescent="0.3">
      <c r="A65" s="12" t="s">
        <v>4</v>
      </c>
      <c r="B65" s="13" t="s">
        <v>30</v>
      </c>
      <c r="C65" s="13">
        <v>7587209.7999999998</v>
      </c>
      <c r="D65" s="13">
        <v>4959543</v>
      </c>
      <c r="E65" s="14">
        <v>1.5298203483667749</v>
      </c>
    </row>
    <row r="66" spans="1:5" x14ac:dyDescent="0.3">
      <c r="A66" s="15" t="s">
        <v>4</v>
      </c>
      <c r="B66" s="16" t="s">
        <v>31</v>
      </c>
      <c r="C66" s="16">
        <v>2875876</v>
      </c>
      <c r="D66" s="16">
        <v>6072162</v>
      </c>
      <c r="E66" s="17">
        <v>0.47361648124671252</v>
      </c>
    </row>
    <row r="67" spans="1:5" x14ac:dyDescent="0.3">
      <c r="A67" s="12" t="s">
        <v>4</v>
      </c>
      <c r="B67" s="13" t="s">
        <v>32</v>
      </c>
      <c r="C67" s="13">
        <v>1838277.2</v>
      </c>
      <c r="D67" s="13">
        <v>5278207</v>
      </c>
      <c r="E67" s="14">
        <v>0.34827682961278328</v>
      </c>
    </row>
    <row r="68" spans="1:5" x14ac:dyDescent="0.3">
      <c r="A68" s="15" t="s">
        <v>4</v>
      </c>
      <c r="B68" s="16" t="s">
        <v>33</v>
      </c>
      <c r="C68" s="16">
        <v>1706873.4</v>
      </c>
      <c r="D68" s="16">
        <v>5700491</v>
      </c>
      <c r="E68" s="17">
        <v>0.29942568105098322</v>
      </c>
    </row>
    <row r="69" spans="1:5" x14ac:dyDescent="0.3">
      <c r="A69" s="12" t="s">
        <v>4</v>
      </c>
      <c r="B69" s="13" t="s">
        <v>34</v>
      </c>
      <c r="C69" s="13">
        <v>6715896.7000000002</v>
      </c>
      <c r="D69" s="13">
        <v>5948989</v>
      </c>
      <c r="E69" s="14">
        <v>1.1289139549594061</v>
      </c>
    </row>
    <row r="70" spans="1:5" x14ac:dyDescent="0.3">
      <c r="A70" s="15" t="s">
        <v>4</v>
      </c>
      <c r="B70" s="16" t="s">
        <v>35</v>
      </c>
      <c r="C70" s="16">
        <v>3368287.3</v>
      </c>
      <c r="D70" s="16">
        <v>6427060</v>
      </c>
      <c r="E70" s="17">
        <v>0.5240790190226946</v>
      </c>
    </row>
    <row r="71" spans="1:5" x14ac:dyDescent="0.3">
      <c r="A71" s="12" t="s">
        <v>4</v>
      </c>
      <c r="B71" s="13" t="s">
        <v>36</v>
      </c>
      <c r="C71" s="13">
        <v>5549552.9000000004</v>
      </c>
      <c r="D71" s="13">
        <v>4521421</v>
      </c>
      <c r="E71" s="14">
        <v>1.22739132232986</v>
      </c>
    </row>
    <row r="72" spans="1:5" x14ac:dyDescent="0.3">
      <c r="A72" s="15" t="s">
        <v>4</v>
      </c>
      <c r="B72" s="16" t="s">
        <v>37</v>
      </c>
      <c r="C72" s="16">
        <v>3143494.2</v>
      </c>
      <c r="D72" s="16">
        <v>6067919</v>
      </c>
      <c r="E72" s="17">
        <v>0.51805144399587411</v>
      </c>
    </row>
    <row r="73" spans="1:5" x14ac:dyDescent="0.3">
      <c r="A73" s="12" t="s">
        <v>4</v>
      </c>
      <c r="B73" s="13" t="s">
        <v>38</v>
      </c>
      <c r="C73" s="13">
        <v>21898848.800000001</v>
      </c>
      <c r="D73" s="13">
        <v>5219480</v>
      </c>
      <c r="E73" s="14">
        <v>4.1955997149141293</v>
      </c>
    </row>
    <row r="74" spans="1:5" x14ac:dyDescent="0.3">
      <c r="A74" s="15" t="s">
        <v>4</v>
      </c>
      <c r="B74" s="16" t="s">
        <v>39</v>
      </c>
      <c r="C74" s="16">
        <v>4378094.2</v>
      </c>
      <c r="D74" s="16">
        <v>5298867</v>
      </c>
      <c r="E74" s="17">
        <v>0.82623213603964774</v>
      </c>
    </row>
    <row r="75" spans="1:5" x14ac:dyDescent="0.3">
      <c r="A75" s="12" t="s">
        <v>4</v>
      </c>
      <c r="B75" s="13" t="s">
        <v>40</v>
      </c>
      <c r="C75" s="13">
        <v>13381642.550000001</v>
      </c>
      <c r="D75" s="13">
        <v>5907244</v>
      </c>
      <c r="E75" s="14">
        <v>2.2652936885627208</v>
      </c>
    </row>
    <row r="76" spans="1:5" x14ac:dyDescent="0.3">
      <c r="A76" s="15" t="s">
        <v>6</v>
      </c>
      <c r="B76" s="16" t="s">
        <v>17</v>
      </c>
      <c r="C76" s="16">
        <v>6858102.4000000004</v>
      </c>
      <c r="D76" s="16">
        <v>6004766</v>
      </c>
      <c r="E76" s="17">
        <v>1.1421098507418941</v>
      </c>
    </row>
    <row r="77" spans="1:5" x14ac:dyDescent="0.3">
      <c r="A77" s="12" t="s">
        <v>6</v>
      </c>
      <c r="B77" s="13" t="s">
        <v>18</v>
      </c>
      <c r="C77" s="13">
        <v>9840921.9000000004</v>
      </c>
      <c r="D77" s="13">
        <v>5578572</v>
      </c>
      <c r="E77" s="14">
        <v>1.7640575222476289</v>
      </c>
    </row>
    <row r="78" spans="1:5" x14ac:dyDescent="0.3">
      <c r="A78" s="15" t="s">
        <v>6</v>
      </c>
      <c r="B78" s="16" t="s">
        <v>19</v>
      </c>
      <c r="C78" s="16">
        <v>4286766.1999999993</v>
      </c>
      <c r="D78" s="16">
        <v>5362994</v>
      </c>
      <c r="E78" s="17">
        <v>0.79932332573931641</v>
      </c>
    </row>
    <row r="79" spans="1:5" x14ac:dyDescent="0.3">
      <c r="A79" s="12" t="s">
        <v>6</v>
      </c>
      <c r="B79" s="13" t="s">
        <v>20</v>
      </c>
      <c r="C79" s="13">
        <v>7071058.7000000002</v>
      </c>
      <c r="D79" s="13">
        <v>5357913</v>
      </c>
      <c r="E79" s="14">
        <v>1.319741231333917</v>
      </c>
    </row>
    <row r="80" spans="1:5" x14ac:dyDescent="0.3">
      <c r="A80" s="15" t="s">
        <v>6</v>
      </c>
      <c r="B80" s="16" t="s">
        <v>21</v>
      </c>
      <c r="C80" s="16">
        <v>11728527</v>
      </c>
      <c r="D80" s="16">
        <v>5201036</v>
      </c>
      <c r="E80" s="17">
        <v>2.255036688844299</v>
      </c>
    </row>
    <row r="81" spans="1:5" x14ac:dyDescent="0.3">
      <c r="A81" s="12" t="s">
        <v>6</v>
      </c>
      <c r="B81" s="13" t="s">
        <v>22</v>
      </c>
      <c r="C81" s="13">
        <v>3064498.3</v>
      </c>
      <c r="D81" s="13">
        <v>5652242</v>
      </c>
      <c r="E81" s="14">
        <v>0.54217393735087771</v>
      </c>
    </row>
    <row r="82" spans="1:5" x14ac:dyDescent="0.3">
      <c r="A82" s="15" t="s">
        <v>6</v>
      </c>
      <c r="B82" s="16" t="s">
        <v>23</v>
      </c>
      <c r="C82" s="16">
        <v>6664791.2000000002</v>
      </c>
      <c r="D82" s="16">
        <v>6320171</v>
      </c>
      <c r="E82" s="17">
        <v>1.0545270373222499</v>
      </c>
    </row>
    <row r="83" spans="1:5" x14ac:dyDescent="0.3">
      <c r="A83" s="12" t="s">
        <v>6</v>
      </c>
      <c r="B83" s="13" t="s">
        <v>24</v>
      </c>
      <c r="C83" s="13">
        <v>408936.75</v>
      </c>
      <c r="D83" s="13">
        <v>4510939</v>
      </c>
      <c r="E83" s="14">
        <v>9.0654462407937689E-2</v>
      </c>
    </row>
    <row r="84" spans="1:5" x14ac:dyDescent="0.3">
      <c r="A84" s="15" t="s">
        <v>6</v>
      </c>
      <c r="B84" s="16" t="s">
        <v>25</v>
      </c>
      <c r="C84" s="16">
        <v>3084523.6</v>
      </c>
      <c r="D84" s="16">
        <v>5250060</v>
      </c>
      <c r="E84" s="17">
        <v>0.58752159022944495</v>
      </c>
    </row>
    <row r="85" spans="1:5" x14ac:dyDescent="0.3">
      <c r="A85" s="12" t="s">
        <v>6</v>
      </c>
      <c r="B85" s="13" t="s">
        <v>26</v>
      </c>
      <c r="C85" s="13">
        <v>25032</v>
      </c>
      <c r="D85" s="13">
        <v>5352143</v>
      </c>
      <c r="E85" s="14">
        <v>4.6770050800212177E-3</v>
      </c>
    </row>
    <row r="86" spans="1:5" x14ac:dyDescent="0.3">
      <c r="A86" s="15" t="s">
        <v>6</v>
      </c>
      <c r="B86" s="16" t="s">
        <v>27</v>
      </c>
      <c r="C86" s="16">
        <v>7122754.5</v>
      </c>
      <c r="D86" s="16">
        <v>5723761</v>
      </c>
      <c r="E86" s="17">
        <v>1.244418573731503</v>
      </c>
    </row>
    <row r="87" spans="1:5" x14ac:dyDescent="0.3">
      <c r="A87" s="12" t="s">
        <v>6</v>
      </c>
      <c r="B87" s="13" t="s">
        <v>28</v>
      </c>
      <c r="C87" s="13">
        <v>8082250.1499999994</v>
      </c>
      <c r="D87" s="13">
        <v>5615125</v>
      </c>
      <c r="E87" s="14">
        <v>1.439371367511854</v>
      </c>
    </row>
    <row r="88" spans="1:5" x14ac:dyDescent="0.3">
      <c r="A88" s="15" t="s">
        <v>6</v>
      </c>
      <c r="B88" s="16" t="s">
        <v>29</v>
      </c>
      <c r="C88" s="16">
        <v>11722022.800000001</v>
      </c>
      <c r="D88" s="16">
        <v>5655302</v>
      </c>
      <c r="E88" s="17">
        <v>2.0727492183441312</v>
      </c>
    </row>
    <row r="89" spans="1:5" x14ac:dyDescent="0.3">
      <c r="A89" s="12" t="s">
        <v>6</v>
      </c>
      <c r="B89" s="13" t="s">
        <v>30</v>
      </c>
      <c r="C89" s="13">
        <v>3324752.75</v>
      </c>
      <c r="D89" s="13">
        <v>4738172</v>
      </c>
      <c r="E89" s="14">
        <v>0.70169524238461589</v>
      </c>
    </row>
    <row r="90" spans="1:5" x14ac:dyDescent="0.3">
      <c r="A90" s="15" t="s">
        <v>6</v>
      </c>
      <c r="B90" s="16" t="s">
        <v>31</v>
      </c>
      <c r="C90" s="16">
        <v>6553235</v>
      </c>
      <c r="D90" s="16">
        <v>5516687</v>
      </c>
      <c r="E90" s="17">
        <v>1.1878932047440789</v>
      </c>
    </row>
    <row r="91" spans="1:5" x14ac:dyDescent="0.3">
      <c r="A91" s="12" t="s">
        <v>6</v>
      </c>
      <c r="B91" s="13" t="s">
        <v>32</v>
      </c>
      <c r="C91" s="13">
        <v>4569586.3499999996</v>
      </c>
      <c r="D91" s="13">
        <v>4604106</v>
      </c>
      <c r="E91" s="14">
        <v>0.99250242066537986</v>
      </c>
    </row>
    <row r="92" spans="1:5" x14ac:dyDescent="0.3">
      <c r="A92" s="15" t="s">
        <v>6</v>
      </c>
      <c r="B92" s="16" t="s">
        <v>33</v>
      </c>
      <c r="C92" s="16">
        <v>9723779.3999999985</v>
      </c>
      <c r="D92" s="16">
        <v>5443337</v>
      </c>
      <c r="E92" s="17">
        <v>1.7863636589099661</v>
      </c>
    </row>
    <row r="93" spans="1:5" x14ac:dyDescent="0.3">
      <c r="A93" s="12" t="s">
        <v>6</v>
      </c>
      <c r="B93" s="13" t="s">
        <v>34</v>
      </c>
      <c r="C93" s="13">
        <v>6129367.6000000006</v>
      </c>
      <c r="D93" s="13">
        <v>5718058</v>
      </c>
      <c r="E93" s="14">
        <v>1.071931694292013</v>
      </c>
    </row>
    <row r="94" spans="1:5" x14ac:dyDescent="0.3">
      <c r="A94" s="15" t="s">
        <v>6</v>
      </c>
      <c r="B94" s="16" t="s">
        <v>35</v>
      </c>
      <c r="C94" s="16">
        <v>7553490.7999999998</v>
      </c>
      <c r="D94" s="16">
        <v>5072938</v>
      </c>
      <c r="E94" s="17">
        <v>1.4889775510759251</v>
      </c>
    </row>
    <row r="95" spans="1:5" x14ac:dyDescent="0.3">
      <c r="A95" s="12" t="s">
        <v>6</v>
      </c>
      <c r="B95" s="13" t="s">
        <v>36</v>
      </c>
      <c r="C95" s="13">
        <v>2687595.95</v>
      </c>
      <c r="D95" s="13">
        <v>5488737</v>
      </c>
      <c r="E95" s="14">
        <v>0.48965653664950609</v>
      </c>
    </row>
    <row r="96" spans="1:5" x14ac:dyDescent="0.3">
      <c r="A96" s="15" t="s">
        <v>6</v>
      </c>
      <c r="B96" s="16" t="s">
        <v>37</v>
      </c>
      <c r="C96" s="16">
        <v>6248585.0499999998</v>
      </c>
      <c r="D96" s="16">
        <v>4889493</v>
      </c>
      <c r="E96" s="17">
        <v>1.2779617539078181</v>
      </c>
    </row>
    <row r="97" spans="1:5" x14ac:dyDescent="0.3">
      <c r="A97" s="12" t="s">
        <v>6</v>
      </c>
      <c r="B97" s="13" t="s">
        <v>38</v>
      </c>
      <c r="C97" s="13">
        <v>11218240.699999999</v>
      </c>
      <c r="D97" s="13">
        <v>5848049</v>
      </c>
      <c r="E97" s="14">
        <v>1.9182877400651051</v>
      </c>
    </row>
    <row r="98" spans="1:5" x14ac:dyDescent="0.3">
      <c r="A98" s="15" t="s">
        <v>6</v>
      </c>
      <c r="B98" s="16" t="s">
        <v>39</v>
      </c>
      <c r="C98" s="16">
        <v>4186963.399999999</v>
      </c>
      <c r="D98" s="16">
        <v>5051874</v>
      </c>
      <c r="E98" s="17">
        <v>0.82879410689973654</v>
      </c>
    </row>
    <row r="99" spans="1:5" x14ac:dyDescent="0.3">
      <c r="A99" s="12" t="s">
        <v>6</v>
      </c>
      <c r="B99" s="13" t="s">
        <v>40</v>
      </c>
      <c r="C99" s="13">
        <v>4774541.9000000004</v>
      </c>
      <c r="D99" s="13">
        <v>4530733</v>
      </c>
      <c r="E99" s="14">
        <v>1.0538122418602029</v>
      </c>
    </row>
    <row r="100" spans="1:5" x14ac:dyDescent="0.3">
      <c r="A100" s="15" t="s">
        <v>5</v>
      </c>
      <c r="B100" s="16" t="s">
        <v>17</v>
      </c>
      <c r="C100" s="16">
        <v>2911040.1</v>
      </c>
      <c r="D100" s="16">
        <v>4378854</v>
      </c>
      <c r="E100" s="17">
        <v>0.66479496690229911</v>
      </c>
    </row>
    <row r="101" spans="1:5" x14ac:dyDescent="0.3">
      <c r="A101" s="12" t="s">
        <v>5</v>
      </c>
      <c r="B101" s="13" t="s">
        <v>18</v>
      </c>
      <c r="C101" s="13">
        <v>2417110</v>
      </c>
      <c r="D101" s="13">
        <v>4073150</v>
      </c>
      <c r="E101" s="14">
        <v>0.59342523599671015</v>
      </c>
    </row>
    <row r="102" spans="1:5" x14ac:dyDescent="0.3">
      <c r="A102" s="15" t="s">
        <v>5</v>
      </c>
      <c r="B102" s="16" t="s">
        <v>19</v>
      </c>
      <c r="C102" s="16">
        <v>2113607.2000000002</v>
      </c>
      <c r="D102" s="16">
        <v>4462829</v>
      </c>
      <c r="E102" s="17">
        <v>0.47360255120686912</v>
      </c>
    </row>
    <row r="103" spans="1:5" x14ac:dyDescent="0.3">
      <c r="A103" s="12" t="s">
        <v>5</v>
      </c>
      <c r="B103" s="13" t="s">
        <v>20</v>
      </c>
      <c r="C103" s="13">
        <v>6228325.4000000004</v>
      </c>
      <c r="D103" s="13">
        <v>4374754</v>
      </c>
      <c r="E103" s="14">
        <v>1.4236972867502951</v>
      </c>
    </row>
    <row r="104" spans="1:5" x14ac:dyDescent="0.3">
      <c r="A104" s="15" t="s">
        <v>5</v>
      </c>
      <c r="B104" s="16" t="s">
        <v>21</v>
      </c>
      <c r="C104" s="16">
        <v>5879151</v>
      </c>
      <c r="D104" s="16">
        <v>3824973</v>
      </c>
      <c r="E104" s="17">
        <v>1.537043790897348</v>
      </c>
    </row>
    <row r="105" spans="1:5" x14ac:dyDescent="0.3">
      <c r="A105" s="12" t="s">
        <v>5</v>
      </c>
      <c r="B105" s="13" t="s">
        <v>22</v>
      </c>
      <c r="C105" s="13">
        <v>659185.69999999995</v>
      </c>
      <c r="D105" s="13">
        <v>4421002</v>
      </c>
      <c r="E105" s="14">
        <v>0.14910323496800049</v>
      </c>
    </row>
    <row r="106" spans="1:5" x14ac:dyDescent="0.3">
      <c r="A106" s="15" t="s">
        <v>5</v>
      </c>
      <c r="B106" s="16" t="s">
        <v>23</v>
      </c>
      <c r="C106" s="16">
        <v>1957408.4</v>
      </c>
      <c r="D106" s="16">
        <v>3506325</v>
      </c>
      <c r="E106" s="17">
        <v>0.55825070408476107</v>
      </c>
    </row>
    <row r="107" spans="1:5" x14ac:dyDescent="0.3">
      <c r="A107" s="12" t="s">
        <v>5</v>
      </c>
      <c r="B107" s="13" t="s">
        <v>24</v>
      </c>
      <c r="C107" s="13">
        <v>8207535.7000000002</v>
      </c>
      <c r="D107" s="13">
        <v>3911223</v>
      </c>
      <c r="E107" s="14">
        <v>2.0984576179880312</v>
      </c>
    </row>
    <row r="108" spans="1:5" x14ac:dyDescent="0.3">
      <c r="A108" s="15" t="s">
        <v>5</v>
      </c>
      <c r="B108" s="16" t="s">
        <v>26</v>
      </c>
      <c r="C108" s="16">
        <v>3182757.6</v>
      </c>
      <c r="D108" s="16">
        <v>3722383</v>
      </c>
      <c r="E108" s="17">
        <v>0.85503227368059653</v>
      </c>
    </row>
    <row r="109" spans="1:5" x14ac:dyDescent="0.3">
      <c r="A109" s="12" t="s">
        <v>5</v>
      </c>
      <c r="B109" s="13" t="s">
        <v>27</v>
      </c>
      <c r="C109" s="13">
        <v>14484765</v>
      </c>
      <c r="D109" s="13">
        <v>3900547</v>
      </c>
      <c r="E109" s="14">
        <v>3.713521462502567</v>
      </c>
    </row>
    <row r="110" spans="1:5" x14ac:dyDescent="0.3">
      <c r="A110" s="15" t="s">
        <v>5</v>
      </c>
      <c r="B110" s="16" t="s">
        <v>28</v>
      </c>
      <c r="C110" s="16">
        <v>7802098.4000000004</v>
      </c>
      <c r="D110" s="16">
        <v>3435171</v>
      </c>
      <c r="E110" s="17">
        <v>2.2712401798920641</v>
      </c>
    </row>
    <row r="111" spans="1:5" x14ac:dyDescent="0.3">
      <c r="A111" s="12" t="s">
        <v>5</v>
      </c>
      <c r="B111" s="13" t="s">
        <v>29</v>
      </c>
      <c r="C111" s="13">
        <v>7038492.0499999998</v>
      </c>
      <c r="D111" s="13">
        <v>3827264</v>
      </c>
      <c r="E111" s="14">
        <v>1.8390401210891121</v>
      </c>
    </row>
    <row r="112" spans="1:5" x14ac:dyDescent="0.3">
      <c r="A112" s="15" t="s">
        <v>5</v>
      </c>
      <c r="B112" s="16" t="s">
        <v>30</v>
      </c>
      <c r="C112" s="16">
        <v>3937011.85</v>
      </c>
      <c r="D112" s="16">
        <v>3343296</v>
      </c>
      <c r="E112" s="17">
        <v>1.177583991964815</v>
      </c>
    </row>
    <row r="113" spans="1:5" x14ac:dyDescent="0.3">
      <c r="A113" s="12" t="s">
        <v>5</v>
      </c>
      <c r="B113" s="13" t="s">
        <v>31</v>
      </c>
      <c r="C113" s="13">
        <v>4598790.3499999996</v>
      </c>
      <c r="D113" s="13">
        <v>4478943</v>
      </c>
      <c r="E113" s="14">
        <v>1.026757953829732</v>
      </c>
    </row>
    <row r="114" spans="1:5" x14ac:dyDescent="0.3">
      <c r="A114" s="15" t="s">
        <v>5</v>
      </c>
      <c r="B114" s="16" t="s">
        <v>32</v>
      </c>
      <c r="C114" s="16">
        <v>12748691.800000001</v>
      </c>
      <c r="D114" s="16">
        <v>4009636</v>
      </c>
      <c r="E114" s="17">
        <v>3.1795135019737448</v>
      </c>
    </row>
    <row r="115" spans="1:5" x14ac:dyDescent="0.3">
      <c r="A115" s="12" t="s">
        <v>5</v>
      </c>
      <c r="B115" s="13" t="s">
        <v>33</v>
      </c>
      <c r="C115" s="13">
        <v>15581081.65</v>
      </c>
      <c r="D115" s="13">
        <v>4276117</v>
      </c>
      <c r="E115" s="14">
        <v>3.643745400324641</v>
      </c>
    </row>
    <row r="116" spans="1:5" x14ac:dyDescent="0.3">
      <c r="A116" s="15" t="s">
        <v>5</v>
      </c>
      <c r="B116" s="16" t="s">
        <v>34</v>
      </c>
      <c r="C116" s="16">
        <v>3015040.2</v>
      </c>
      <c r="D116" s="16">
        <v>3518329</v>
      </c>
      <c r="E116" s="17">
        <v>0.85695232026339785</v>
      </c>
    </row>
    <row r="117" spans="1:5" x14ac:dyDescent="0.3">
      <c r="A117" s="12" t="s">
        <v>5</v>
      </c>
      <c r="B117" s="13" t="s">
        <v>35</v>
      </c>
      <c r="C117" s="13">
        <v>11141788</v>
      </c>
      <c r="D117" s="13">
        <v>3710903</v>
      </c>
      <c r="E117" s="14">
        <v>3.0024465743243631</v>
      </c>
    </row>
    <row r="118" spans="1:5" x14ac:dyDescent="0.3">
      <c r="A118" s="15" t="s">
        <v>5</v>
      </c>
      <c r="B118" s="16" t="s">
        <v>36</v>
      </c>
      <c r="C118" s="16">
        <v>3381684.25</v>
      </c>
      <c r="D118" s="16">
        <v>4233052</v>
      </c>
      <c r="E118" s="17">
        <v>0.79887614184753697</v>
      </c>
    </row>
    <row r="119" spans="1:5" x14ac:dyDescent="0.3">
      <c r="A119" s="12" t="s">
        <v>5</v>
      </c>
      <c r="B119" s="13" t="s">
        <v>37</v>
      </c>
      <c r="C119" s="13">
        <v>7343247.2999999998</v>
      </c>
      <c r="D119" s="13">
        <v>4453062</v>
      </c>
      <c r="E119" s="14">
        <v>1.649033249480919</v>
      </c>
    </row>
    <row r="120" spans="1:5" x14ac:dyDescent="0.3">
      <c r="A120" s="15" t="s">
        <v>5</v>
      </c>
      <c r="B120" s="16" t="s">
        <v>38</v>
      </c>
      <c r="C120" s="16">
        <v>10394602.199999999</v>
      </c>
      <c r="D120" s="16">
        <v>4127830</v>
      </c>
      <c r="E120" s="17">
        <v>2.518175942323206</v>
      </c>
    </row>
    <row r="121" spans="1:5" x14ac:dyDescent="0.3">
      <c r="A121" s="12" t="s">
        <v>5</v>
      </c>
      <c r="B121" s="13" t="s">
        <v>39</v>
      </c>
      <c r="C121" s="13">
        <v>2230436.6</v>
      </c>
      <c r="D121" s="13">
        <v>4515904</v>
      </c>
      <c r="E121" s="14">
        <v>0.4939070006802625</v>
      </c>
    </row>
    <row r="122" spans="1:5" x14ac:dyDescent="0.3">
      <c r="A122" s="15" t="s">
        <v>5</v>
      </c>
      <c r="B122" s="16" t="s">
        <v>40</v>
      </c>
      <c r="C122" s="16">
        <v>21857233.100000001</v>
      </c>
      <c r="D122" s="16">
        <v>3717631</v>
      </c>
      <c r="E122" s="17">
        <v>5.8793444265985517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B24" sqref="B24"/>
    </sheetView>
  </sheetViews>
  <sheetFormatPr baseColWidth="10" defaultColWidth="9.140625" defaultRowHeight="17.25" x14ac:dyDescent="0.3"/>
  <cols>
    <col min="1" max="1" width="35.28515625" style="1" bestFit="1" customWidth="1"/>
    <col min="2" max="2" width="15.42578125" style="1" bestFit="1" customWidth="1"/>
    <col min="3" max="16384" width="9.140625" style="1"/>
  </cols>
  <sheetData>
    <row r="1" spans="1:3" ht="29.25" customHeight="1" x14ac:dyDescent="0.3">
      <c r="A1" s="4" t="s">
        <v>61</v>
      </c>
      <c r="B1" s="4"/>
      <c r="C1" s="4"/>
    </row>
    <row r="3" spans="1:3" s="3" customFormat="1" ht="25.5" customHeight="1" x14ac:dyDescent="0.25">
      <c r="A3" s="3" t="s">
        <v>41</v>
      </c>
      <c r="B3" s="3" t="s">
        <v>0</v>
      </c>
    </row>
    <row r="4" spans="1:3" x14ac:dyDescent="0.3">
      <c r="A4" s="1" t="s">
        <v>42</v>
      </c>
      <c r="B4" s="1">
        <v>249422082.90000001</v>
      </c>
    </row>
    <row r="5" spans="1:3" x14ac:dyDescent="0.3">
      <c r="A5" s="1" t="s">
        <v>43</v>
      </c>
      <c r="B5" s="1">
        <v>159898785.34999999</v>
      </c>
    </row>
    <row r="6" spans="1:3" x14ac:dyDescent="0.3">
      <c r="A6" s="1" t="s">
        <v>44</v>
      </c>
      <c r="B6" s="1">
        <v>131242697.2</v>
      </c>
    </row>
    <row r="7" spans="1:3" x14ac:dyDescent="0.3">
      <c r="A7" s="1" t="s">
        <v>45</v>
      </c>
      <c r="B7" s="1">
        <v>75513537.450000003</v>
      </c>
    </row>
    <row r="8" spans="1:3" x14ac:dyDescent="0.3">
      <c r="A8" s="1" t="s">
        <v>46</v>
      </c>
      <c r="B8" s="1">
        <v>72292150.299999997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selection activeCell="F2" sqref="F2"/>
    </sheetView>
  </sheetViews>
  <sheetFormatPr baseColWidth="10" defaultColWidth="9.140625" defaultRowHeight="17.25" x14ac:dyDescent="0.3"/>
  <cols>
    <col min="1" max="1" width="11.140625" style="1" bestFit="1" customWidth="1"/>
    <col min="2" max="2" width="14.42578125" style="1" bestFit="1" customWidth="1"/>
    <col min="3" max="3" width="21.42578125" style="1" bestFit="1" customWidth="1"/>
    <col min="4" max="4" width="25.5703125" style="1" bestFit="1" customWidth="1"/>
    <col min="5" max="5" width="20.140625" style="1" bestFit="1" customWidth="1"/>
    <col min="6" max="6" width="18.28515625" style="1" bestFit="1" customWidth="1"/>
    <col min="7" max="7" width="27.140625" style="1" customWidth="1"/>
    <col min="8" max="8" width="0" style="1" hidden="1" customWidth="1"/>
    <col min="9" max="16384" width="9.140625" style="1"/>
  </cols>
  <sheetData>
    <row r="1" spans="1:8" ht="27" customHeight="1" x14ac:dyDescent="0.3">
      <c r="A1" s="4" t="s">
        <v>62</v>
      </c>
      <c r="B1" s="4"/>
      <c r="C1" s="4"/>
    </row>
    <row r="4" spans="1:8" s="3" customFormat="1" ht="27" customHeight="1" x14ac:dyDescent="0.25">
      <c r="A4" s="3" t="s">
        <v>14</v>
      </c>
      <c r="B4" s="3" t="s">
        <v>7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65</v>
      </c>
    </row>
    <row r="5" spans="1:8" x14ac:dyDescent="0.3">
      <c r="A5" s="1" t="s">
        <v>17</v>
      </c>
      <c r="B5" s="1">
        <v>32354886.899999999</v>
      </c>
      <c r="E5" s="5"/>
      <c r="F5" s="1">
        <v>32354886.899999999</v>
      </c>
      <c r="G5" s="1">
        <v>32354886.899999999</v>
      </c>
      <c r="H5" s="1" t="str">
        <f>LEFT(Tableau6[[#This Row],[mois]],4)</f>
        <v>2024</v>
      </c>
    </row>
    <row r="6" spans="1:8" x14ac:dyDescent="0.3">
      <c r="A6" s="1" t="s">
        <v>18</v>
      </c>
      <c r="B6" s="1">
        <v>30681763.699999999</v>
      </c>
      <c r="C6" s="1">
        <v>32354886.899999999</v>
      </c>
      <c r="D6" s="1">
        <v>-1673123.199999999</v>
      </c>
      <c r="E6" s="5">
        <v>-5.17</v>
      </c>
      <c r="F6" s="1">
        <v>63036650.599999987</v>
      </c>
      <c r="G6" s="1">
        <v>31518325.300000001</v>
      </c>
      <c r="H6" s="1" t="str">
        <f>LEFT(Tableau6[[#This Row],[mois]],4)</f>
        <v>2024</v>
      </c>
    </row>
    <row r="7" spans="1:8" x14ac:dyDescent="0.3">
      <c r="A7" s="1" t="s">
        <v>19</v>
      </c>
      <c r="B7" s="1">
        <v>24033111.75</v>
      </c>
      <c r="C7" s="1">
        <v>30681763.699999999</v>
      </c>
      <c r="D7" s="1">
        <v>-6648651.9499999993</v>
      </c>
      <c r="E7" s="5">
        <v>-21.67</v>
      </c>
      <c r="F7" s="1">
        <v>87069762.349999994</v>
      </c>
      <c r="G7" s="1">
        <v>29023254.120000001</v>
      </c>
      <c r="H7" s="1" t="str">
        <f>LEFT(Tableau6[[#This Row],[mois]],4)</f>
        <v>2024</v>
      </c>
    </row>
    <row r="8" spans="1:8" x14ac:dyDescent="0.3">
      <c r="A8" s="1" t="s">
        <v>20</v>
      </c>
      <c r="B8" s="1">
        <v>31897805.600000001</v>
      </c>
      <c r="C8" s="1">
        <v>24033111.75</v>
      </c>
      <c r="D8" s="1">
        <v>7864693.8499999978</v>
      </c>
      <c r="E8" s="5">
        <v>32.72</v>
      </c>
      <c r="F8" s="1">
        <v>118967567.95</v>
      </c>
      <c r="G8" s="1">
        <v>28870893.68</v>
      </c>
      <c r="H8" s="1" t="str">
        <f>LEFT(Tableau6[[#This Row],[mois]],4)</f>
        <v>2024</v>
      </c>
    </row>
    <row r="9" spans="1:8" x14ac:dyDescent="0.3">
      <c r="A9" s="1" t="s">
        <v>21</v>
      </c>
      <c r="B9" s="1">
        <v>36087725.850000001</v>
      </c>
      <c r="C9" s="1">
        <v>31897805.600000001</v>
      </c>
      <c r="D9" s="1">
        <v>4189920.2500000042</v>
      </c>
      <c r="E9" s="5">
        <v>13.14</v>
      </c>
      <c r="F9" s="1">
        <v>155055293.80000001</v>
      </c>
      <c r="G9" s="1">
        <v>30672881.07</v>
      </c>
      <c r="H9" s="1" t="str">
        <f>LEFT(Tableau6[[#This Row],[mois]],4)</f>
        <v>2024</v>
      </c>
    </row>
    <row r="10" spans="1:8" x14ac:dyDescent="0.3">
      <c r="A10" s="1" t="s">
        <v>22</v>
      </c>
      <c r="B10" s="1">
        <v>15403310.35</v>
      </c>
      <c r="C10" s="1">
        <v>36087725.850000001</v>
      </c>
      <c r="D10" s="1">
        <v>-20684415.5</v>
      </c>
      <c r="E10" s="5">
        <v>-57.32</v>
      </c>
      <c r="F10" s="1">
        <v>170458604.15000001</v>
      </c>
      <c r="G10" s="1">
        <v>27796280.600000001</v>
      </c>
      <c r="H10" s="1" t="str">
        <f>LEFT(Tableau6[[#This Row],[mois]],4)</f>
        <v>2024</v>
      </c>
    </row>
    <row r="11" spans="1:8" x14ac:dyDescent="0.3">
      <c r="A11" s="1" t="s">
        <v>23</v>
      </c>
      <c r="B11" s="1">
        <v>37547321.549999997</v>
      </c>
      <c r="C11" s="1">
        <v>15403310.35</v>
      </c>
      <c r="D11" s="1">
        <v>22144011.199999999</v>
      </c>
      <c r="E11" s="5">
        <v>143.76</v>
      </c>
      <c r="F11" s="1">
        <v>208005925.69999999</v>
      </c>
      <c r="G11" s="1">
        <v>29679452.579999998</v>
      </c>
      <c r="H11" s="1" t="str">
        <f>LEFT(Tableau6[[#This Row],[mois]],4)</f>
        <v>2024</v>
      </c>
    </row>
    <row r="12" spans="1:8" x14ac:dyDescent="0.3">
      <c r="A12" s="1" t="s">
        <v>24</v>
      </c>
      <c r="B12" s="1">
        <v>24077409.5</v>
      </c>
      <c r="C12" s="1">
        <v>37547321.549999997</v>
      </c>
      <c r="D12" s="1">
        <v>-13469912.050000001</v>
      </c>
      <c r="E12" s="5">
        <v>-35.869999999999997</v>
      </c>
      <c r="F12" s="1">
        <v>232083335.19999999</v>
      </c>
      <c r="G12" s="1">
        <v>25676013.800000001</v>
      </c>
      <c r="H12" s="1" t="str">
        <f>LEFT(Tableau6[[#This Row],[mois]],4)</f>
        <v>2024</v>
      </c>
    </row>
    <row r="13" spans="1:8" x14ac:dyDescent="0.3">
      <c r="A13" s="1" t="s">
        <v>25</v>
      </c>
      <c r="B13" s="1">
        <v>26373345.949999999</v>
      </c>
      <c r="C13" s="1">
        <v>24077409.5</v>
      </c>
      <c r="D13" s="1">
        <v>2295936.4499999988</v>
      </c>
      <c r="E13" s="5">
        <v>9.5399999999999991</v>
      </c>
      <c r="F13" s="1">
        <v>258456681.15000001</v>
      </c>
      <c r="G13" s="1">
        <v>29332692.329999998</v>
      </c>
      <c r="H13" s="1" t="str">
        <f>LEFT(Tableau6[[#This Row],[mois]],4)</f>
        <v>2024</v>
      </c>
    </row>
    <row r="14" spans="1:8" x14ac:dyDescent="0.3">
      <c r="A14" s="1" t="s">
        <v>26</v>
      </c>
      <c r="B14" s="1">
        <v>29224019.050000001</v>
      </c>
      <c r="C14" s="1">
        <v>26373345.949999999</v>
      </c>
      <c r="D14" s="1">
        <v>2850673.100000001</v>
      </c>
      <c r="E14" s="5">
        <v>10.81</v>
      </c>
      <c r="F14" s="1">
        <v>287680700.19999999</v>
      </c>
      <c r="G14" s="1">
        <v>26558258.170000002</v>
      </c>
      <c r="H14" s="1" t="str">
        <f>LEFT(Tableau6[[#This Row],[mois]],4)</f>
        <v>2024</v>
      </c>
    </row>
    <row r="15" spans="1:8" x14ac:dyDescent="0.3">
      <c r="A15" s="1" t="s">
        <v>27</v>
      </c>
      <c r="B15" s="1">
        <v>45236089.149999999</v>
      </c>
      <c r="C15" s="1">
        <v>29224019.050000001</v>
      </c>
      <c r="D15" s="1">
        <v>16012070.1</v>
      </c>
      <c r="E15" s="5">
        <v>54.79</v>
      </c>
      <c r="F15" s="1">
        <v>332916789.35000002</v>
      </c>
      <c r="G15" s="1">
        <v>33611151.380000003</v>
      </c>
      <c r="H15" s="1" t="str">
        <f>LEFT(Tableau6[[#This Row],[mois]],4)</f>
        <v>2024</v>
      </c>
    </row>
    <row r="16" spans="1:8" x14ac:dyDescent="0.3">
      <c r="A16" s="1" t="s">
        <v>28</v>
      </c>
      <c r="B16" s="1">
        <v>44379939</v>
      </c>
      <c r="C16" s="1">
        <v>45236089.149999999</v>
      </c>
      <c r="D16" s="1">
        <v>-856150.14999999851</v>
      </c>
      <c r="E16" s="5">
        <v>-1.89</v>
      </c>
      <c r="F16" s="1">
        <v>377296728.35000002</v>
      </c>
      <c r="G16" s="1">
        <v>39613349.07</v>
      </c>
      <c r="H16" s="1" t="str">
        <f>LEFT(Tableau6[[#This Row],[mois]],4)</f>
        <v>2024</v>
      </c>
    </row>
    <row r="17" spans="1:8" x14ac:dyDescent="0.3">
      <c r="A17" s="1" t="s">
        <v>29</v>
      </c>
      <c r="B17" s="1">
        <v>40953493.649999999</v>
      </c>
      <c r="C17" s="1">
        <v>44379939</v>
      </c>
      <c r="D17" s="1">
        <v>-3426445.350000001</v>
      </c>
      <c r="E17" s="5">
        <v>-7.72</v>
      </c>
      <c r="F17" s="1">
        <v>418250222</v>
      </c>
      <c r="G17" s="1">
        <v>43523173.93</v>
      </c>
      <c r="H17" s="1" t="str">
        <f>LEFT(Tableau6[[#This Row],[mois]],4)</f>
        <v>2025</v>
      </c>
    </row>
    <row r="18" spans="1:8" x14ac:dyDescent="0.3">
      <c r="A18" s="1" t="s">
        <v>30</v>
      </c>
      <c r="B18" s="1">
        <v>27517345.300000001</v>
      </c>
      <c r="C18" s="1">
        <v>40953493.649999999</v>
      </c>
      <c r="D18" s="1">
        <v>-13436148.35</v>
      </c>
      <c r="E18" s="5">
        <v>-32.81</v>
      </c>
      <c r="F18" s="1">
        <v>445767567.30000001</v>
      </c>
      <c r="G18" s="1">
        <v>37616925.979999997</v>
      </c>
      <c r="H18" s="1" t="str">
        <f>LEFT(Tableau6[[#This Row],[mois]],4)</f>
        <v>2025</v>
      </c>
    </row>
    <row r="19" spans="1:8" x14ac:dyDescent="0.3">
      <c r="A19" s="1" t="s">
        <v>31</v>
      </c>
      <c r="B19" s="1">
        <v>27646837.699999999</v>
      </c>
      <c r="C19" s="1">
        <v>27517345.300000001</v>
      </c>
      <c r="D19" s="1">
        <v>129492.3999999985</v>
      </c>
      <c r="E19" s="5">
        <v>0.47</v>
      </c>
      <c r="F19" s="1">
        <v>473414405</v>
      </c>
      <c r="G19" s="1">
        <v>32039225.550000001</v>
      </c>
      <c r="H19" s="1" t="str">
        <f>LEFT(Tableau6[[#This Row],[mois]],4)</f>
        <v>2025</v>
      </c>
    </row>
    <row r="20" spans="1:8" x14ac:dyDescent="0.3">
      <c r="A20" s="1" t="s">
        <v>32</v>
      </c>
      <c r="B20" s="1">
        <v>29456439.949999999</v>
      </c>
      <c r="C20" s="1">
        <v>27646837.699999999</v>
      </c>
      <c r="D20" s="1">
        <v>1809602.25</v>
      </c>
      <c r="E20" s="5">
        <v>6.55</v>
      </c>
      <c r="F20" s="1">
        <v>502870844.94999999</v>
      </c>
      <c r="G20" s="1">
        <v>28206874.32</v>
      </c>
      <c r="H20" s="1" t="str">
        <f>LEFT(Tableau6[[#This Row],[mois]],4)</f>
        <v>2025</v>
      </c>
    </row>
    <row r="21" spans="1:8" x14ac:dyDescent="0.3">
      <c r="A21" s="1" t="s">
        <v>33</v>
      </c>
      <c r="B21" s="1">
        <v>54197097.299999997</v>
      </c>
      <c r="C21" s="1">
        <v>29456439.949999999</v>
      </c>
      <c r="D21" s="1">
        <v>24740657.350000001</v>
      </c>
      <c r="E21" s="5">
        <v>83.99</v>
      </c>
      <c r="F21" s="1">
        <v>557067942.25</v>
      </c>
      <c r="G21" s="1">
        <v>37100124.979999997</v>
      </c>
      <c r="H21" s="1" t="str">
        <f>LEFT(Tableau6[[#This Row],[mois]],4)</f>
        <v>2025</v>
      </c>
    </row>
    <row r="22" spans="1:8" x14ac:dyDescent="0.3">
      <c r="A22" s="1" t="s">
        <v>34</v>
      </c>
      <c r="B22" s="1">
        <v>34957938.049999997</v>
      </c>
      <c r="C22" s="1">
        <v>54197097.299999997</v>
      </c>
      <c r="D22" s="1">
        <v>-19239159.25</v>
      </c>
      <c r="E22" s="5">
        <v>-35.5</v>
      </c>
      <c r="F22" s="1">
        <v>592025880.29999995</v>
      </c>
      <c r="G22" s="1">
        <v>39537158.43</v>
      </c>
      <c r="H22" s="1" t="str">
        <f>LEFT(Tableau6[[#This Row],[mois]],4)</f>
        <v>2025</v>
      </c>
    </row>
    <row r="23" spans="1:8" x14ac:dyDescent="0.3">
      <c r="A23" s="1" t="s">
        <v>35</v>
      </c>
      <c r="B23" s="1">
        <v>32774897.350000001</v>
      </c>
      <c r="C23" s="1">
        <v>34957938.049999997</v>
      </c>
      <c r="D23" s="1">
        <v>-2183040.699999996</v>
      </c>
      <c r="E23" s="5">
        <v>-6.24</v>
      </c>
      <c r="F23" s="1">
        <v>624800777.64999998</v>
      </c>
      <c r="G23" s="1">
        <v>40643310.899999999</v>
      </c>
      <c r="H23" s="1" t="str">
        <f>LEFT(Tableau6[[#This Row],[mois]],4)</f>
        <v>2025</v>
      </c>
    </row>
    <row r="24" spans="1:8" x14ac:dyDescent="0.3">
      <c r="A24" s="1" t="s">
        <v>36</v>
      </c>
      <c r="B24" s="1">
        <v>28023014.949999999</v>
      </c>
      <c r="C24" s="1">
        <v>32774897.350000001</v>
      </c>
      <c r="D24" s="1">
        <v>-4751882.4000000022</v>
      </c>
      <c r="E24" s="5">
        <v>-14.5</v>
      </c>
      <c r="F24" s="1">
        <v>652823792.60000002</v>
      </c>
      <c r="G24" s="1">
        <v>31918616.780000001</v>
      </c>
      <c r="H24" s="1" t="str">
        <f>LEFT(Tableau6[[#This Row],[mois]],4)</f>
        <v>2025</v>
      </c>
    </row>
    <row r="25" spans="1:8" x14ac:dyDescent="0.3">
      <c r="A25" s="1" t="s">
        <v>37</v>
      </c>
      <c r="B25" s="1">
        <v>24995184.699999999</v>
      </c>
      <c r="C25" s="1">
        <v>28023014.949999999</v>
      </c>
      <c r="D25" s="1">
        <v>-3027830.25</v>
      </c>
      <c r="E25" s="5">
        <v>-10.8</v>
      </c>
      <c r="F25" s="1">
        <v>677818977.29999995</v>
      </c>
      <c r="G25" s="1">
        <v>28597699</v>
      </c>
      <c r="H25" s="1" t="str">
        <f>LEFT(Tableau6[[#This Row],[mois]],4)</f>
        <v>2025</v>
      </c>
    </row>
    <row r="26" spans="1:8" x14ac:dyDescent="0.3">
      <c r="A26" s="1" t="s">
        <v>38</v>
      </c>
      <c r="B26" s="1">
        <v>52160174.350000001</v>
      </c>
      <c r="C26" s="1">
        <v>24995184.699999999</v>
      </c>
      <c r="D26" s="1">
        <v>27164989.649999999</v>
      </c>
      <c r="E26" s="5">
        <v>108.68</v>
      </c>
      <c r="F26" s="1">
        <v>729979151.64999998</v>
      </c>
      <c r="G26" s="1">
        <v>35059458</v>
      </c>
      <c r="H26" s="1" t="str">
        <f>LEFT(Tableau6[[#This Row],[mois]],4)</f>
        <v>2025</v>
      </c>
    </row>
    <row r="27" spans="1:8" x14ac:dyDescent="0.3">
      <c r="A27" s="1" t="s">
        <v>39</v>
      </c>
      <c r="B27" s="1">
        <v>28423452.699999999</v>
      </c>
      <c r="C27" s="1">
        <v>52160174.350000001</v>
      </c>
      <c r="D27" s="1">
        <v>-23736721.649999999</v>
      </c>
      <c r="E27" s="5">
        <v>-45.51</v>
      </c>
      <c r="F27" s="1">
        <v>758402604.35000002</v>
      </c>
      <c r="G27" s="1">
        <v>35192937.25</v>
      </c>
      <c r="H27" s="1" t="str">
        <f>LEFT(Tableau6[[#This Row],[mois]],4)</f>
        <v>2025</v>
      </c>
    </row>
    <row r="28" spans="1:8" x14ac:dyDescent="0.3">
      <c r="A28" s="1" t="s">
        <v>40</v>
      </c>
      <c r="B28" s="1">
        <v>64150078.799999997</v>
      </c>
      <c r="C28" s="1">
        <v>28423452.699999999</v>
      </c>
      <c r="D28" s="1">
        <v>35726626.099999987</v>
      </c>
      <c r="E28" s="5">
        <v>125.69</v>
      </c>
      <c r="F28" s="1">
        <v>822552683.14999998</v>
      </c>
      <c r="G28" s="1">
        <v>48244568.619999997</v>
      </c>
      <c r="H28" s="1" t="str">
        <f>LEFT(Tableau6[[#This Row],[mois]],4)</f>
        <v>2025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selection activeCell="B18" sqref="B18"/>
    </sheetView>
  </sheetViews>
  <sheetFormatPr baseColWidth="10" defaultColWidth="9.140625" defaultRowHeight="17.25" x14ac:dyDescent="0.3"/>
  <cols>
    <col min="1" max="1" width="22.140625" style="1" customWidth="1"/>
    <col min="2" max="2" width="11.42578125" style="1" customWidth="1"/>
    <col min="3" max="16384" width="9.140625" style="1"/>
  </cols>
  <sheetData>
    <row r="1" spans="1:7" ht="25.5" customHeight="1" x14ac:dyDescent="0.3">
      <c r="A1" s="20" t="s">
        <v>63</v>
      </c>
      <c r="B1" s="4"/>
      <c r="C1" s="6"/>
    </row>
    <row r="3" spans="1:7" ht="24.75" customHeight="1" x14ac:dyDescent="0.3">
      <c r="A3" s="3" t="s">
        <v>53</v>
      </c>
      <c r="B3" s="3" t="s">
        <v>52</v>
      </c>
    </row>
    <row r="4" spans="1:7" x14ac:dyDescent="0.3">
      <c r="A4" s="1" t="s">
        <v>54</v>
      </c>
      <c r="B4" s="1">
        <v>365</v>
      </c>
    </row>
    <row r="5" spans="1:7" x14ac:dyDescent="0.3">
      <c r="A5" s="1" t="s">
        <v>55</v>
      </c>
      <c r="B5" s="1">
        <v>248</v>
      </c>
    </row>
    <row r="6" spans="1:7" x14ac:dyDescent="0.3">
      <c r="A6" s="1" t="s">
        <v>56</v>
      </c>
      <c r="B6" s="1">
        <v>193</v>
      </c>
    </row>
    <row r="11" spans="1:7" x14ac:dyDescent="0.3">
      <c r="G11" s="2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selection activeCell="A22" sqref="A22"/>
    </sheetView>
  </sheetViews>
  <sheetFormatPr baseColWidth="10" defaultColWidth="9.140625" defaultRowHeight="17.25" x14ac:dyDescent="0.3"/>
  <cols>
    <col min="1" max="1" width="35.28515625" style="1" bestFit="1" customWidth="1"/>
    <col min="2" max="2" width="23.140625" style="1" customWidth="1"/>
    <col min="3" max="16384" width="9.140625" style="1"/>
  </cols>
  <sheetData>
    <row r="1" spans="1:2" ht="27.75" customHeight="1" x14ac:dyDescent="0.3">
      <c r="A1" s="4" t="s">
        <v>64</v>
      </c>
      <c r="B1" s="4"/>
    </row>
    <row r="3" spans="1:2" s="3" customFormat="1" ht="24" customHeight="1" x14ac:dyDescent="0.25">
      <c r="A3" s="3" t="s">
        <v>41</v>
      </c>
      <c r="B3" s="3" t="s">
        <v>57</v>
      </c>
    </row>
    <row r="4" spans="1:2" x14ac:dyDescent="0.3">
      <c r="A4" s="1" t="s">
        <v>42</v>
      </c>
      <c r="B4" s="1">
        <v>750000</v>
      </c>
    </row>
    <row r="5" spans="1:2" x14ac:dyDescent="0.3">
      <c r="A5" s="1" t="s">
        <v>43</v>
      </c>
      <c r="B5" s="1">
        <v>420000</v>
      </c>
    </row>
    <row r="6" spans="1:2" x14ac:dyDescent="0.3">
      <c r="A6" s="1" t="s">
        <v>44</v>
      </c>
      <c r="B6" s="1">
        <v>380000</v>
      </c>
    </row>
    <row r="7" spans="1:2" x14ac:dyDescent="0.3">
      <c r="A7" s="1" t="s">
        <v>46</v>
      </c>
      <c r="B7" s="1">
        <v>220000</v>
      </c>
    </row>
    <row r="8" spans="1:2" x14ac:dyDescent="0.3">
      <c r="A8" s="1" t="s">
        <v>45</v>
      </c>
      <c r="B8" s="1">
        <v>150000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CA par pays</vt:lpstr>
      <vt:lpstr>TOP pays</vt:lpstr>
      <vt:lpstr>CA par categorie</vt:lpstr>
      <vt:lpstr>Ecart budgetaire</vt:lpstr>
      <vt:lpstr>CA produits premium</vt:lpstr>
      <vt:lpstr>Evolution mensuelle CA</vt:lpstr>
      <vt:lpstr>Repartition tranches CA</vt:lpstr>
      <vt:lpstr>Produits prix superieur moy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Ingrid Alou</cp:lastModifiedBy>
  <dcterms:created xsi:type="dcterms:W3CDTF">2026-09-04T20:58:29Z</dcterms:created>
  <dcterms:modified xsi:type="dcterms:W3CDTF">2026-09-29T22:02:38Z</dcterms:modified>
</cp:coreProperties>
</file>