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 New\Desktop\portfolio-financial-analyst\05-Kossou\"/>
    </mc:Choice>
  </mc:AlternateContent>
  <xr:revisionPtr revIDLastSave="0" documentId="13_ncr:1_{27E8A173-A0FC-4AB5-B965-C7320EA9D80B}" xr6:coauthVersionLast="47" xr6:coauthVersionMax="47" xr10:uidLastSave="{00000000-0000-0000-0000-000000000000}"/>
  <bookViews>
    <workbookView xWindow="-105" yWindow="0" windowWidth="17370" windowHeight="15585" firstSheet="1" activeTab="2" xr2:uid="{1B04F60D-8F52-42BE-9316-3E462F499F6C}"/>
  </bookViews>
  <sheets>
    <sheet name="Balance_brute" sheetId="1" r:id="rId1"/>
    <sheet name="Nettoyage" sheetId="2" r:id="rId2"/>
    <sheet name="Anormalies" sheetId="3" r:id="rId3"/>
    <sheet name="Mapping" sheetId="16" r:id="rId4"/>
    <sheet name="Balance" sheetId="17" r:id="rId5"/>
    <sheet name="P&amp;L" sheetId="9" r:id="rId6"/>
    <sheet name="Bilan" sheetId="13" r:id="rId7"/>
    <sheet name="Retraitements" sheetId="18" r:id="rId8"/>
    <sheet name="BFR" sheetId="19" r:id="rId9"/>
    <sheet name="TFT" sheetId="21" r:id="rId10"/>
    <sheet name="Dashboard" sheetId="20" r:id="rId11"/>
  </sheets>
  <definedNames>
    <definedName name="_xlchart.v5.0" hidden="1">Retraitements!$B$10:$B$12</definedName>
    <definedName name="_xlchart.v5.1" hidden="1">Retraitements!$D$10:$D$12</definedName>
    <definedName name="DonnéesExternes_1" localSheetId="4" hidden="1">Balance!$B$4:$G$42</definedName>
    <definedName name="DonnéesExternes_1" localSheetId="3" hidden="1">Mapping!$B$4:$E$41</definedName>
  </definedNames>
  <calcPr calcId="191029" iterateDelta="1E-4"/>
  <pivotCaches>
    <pivotCache cacheId="3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9" l="1"/>
  <c r="G5" i="19"/>
  <c r="D11" i="13" l="1"/>
  <c r="D36" i="18"/>
  <c r="D37" i="18" s="1"/>
  <c r="I33" i="18" s="1"/>
  <c r="C36" i="18"/>
  <c r="C37" i="18" s="1"/>
  <c r="H33" i="18" s="1"/>
  <c r="D33" i="18"/>
  <c r="D34" i="18" s="1"/>
  <c r="C33" i="18"/>
  <c r="C34" i="18" s="1"/>
  <c r="D13" i="20" l="1"/>
  <c r="I17" i="13"/>
  <c r="I12" i="13"/>
  <c r="C6" i="18"/>
  <c r="D6" i="18"/>
  <c r="D11" i="18"/>
  <c r="C11" i="18"/>
  <c r="B17" i="18"/>
  <c r="B21" i="18"/>
  <c r="B22" i="18"/>
  <c r="C7" i="18"/>
  <c r="D7" i="18"/>
  <c r="D22" i="13"/>
  <c r="C22" i="13"/>
  <c r="C10" i="19" s="1"/>
  <c r="D21" i="13"/>
  <c r="C21" i="13"/>
  <c r="D19" i="13"/>
  <c r="C19" i="13"/>
  <c r="C21" i="20" s="1"/>
  <c r="D17" i="13"/>
  <c r="C17" i="13"/>
  <c r="G5" i="21"/>
  <c r="D10" i="13"/>
  <c r="D9" i="13"/>
  <c r="D6" i="13"/>
  <c r="D5" i="13"/>
  <c r="C11" i="13"/>
  <c r="C13" i="20" s="1"/>
  <c r="C10" i="13"/>
  <c r="C9" i="13"/>
  <c r="C6" i="13"/>
  <c r="C5" i="13"/>
  <c r="D22" i="9"/>
  <c r="D17" i="18" s="1"/>
  <c r="C22" i="9"/>
  <c r="C17" i="18" s="1"/>
  <c r="D9" i="9"/>
  <c r="C9" i="9"/>
  <c r="D5" i="9"/>
  <c r="C5" i="9"/>
  <c r="C27" i="9"/>
  <c r="C22" i="18" s="1"/>
  <c r="D27" i="9"/>
  <c r="D22" i="18" s="1"/>
  <c r="D23" i="9"/>
  <c r="C23" i="9"/>
  <c r="D19" i="9"/>
  <c r="C7" i="21" s="1"/>
  <c r="C19" i="9"/>
  <c r="D16" i="9"/>
  <c r="C16" i="9"/>
  <c r="D13" i="9"/>
  <c r="C13" i="9"/>
  <c r="C10" i="9"/>
  <c r="D10" i="9"/>
  <c r="D6" i="9"/>
  <c r="C6" i="9"/>
  <c r="I4" i="2"/>
  <c r="H4" i="2"/>
  <c r="J4" i="2" s="1"/>
  <c r="I5" i="2"/>
  <c r="I6" i="2"/>
  <c r="I7" i="2"/>
  <c r="I8" i="2"/>
  <c r="J8" i="2" s="1"/>
  <c r="I9" i="2"/>
  <c r="I10" i="2"/>
  <c r="I11" i="2"/>
  <c r="I12" i="2"/>
  <c r="I13" i="2"/>
  <c r="I14" i="2"/>
  <c r="I15" i="2"/>
  <c r="I16" i="2"/>
  <c r="J16" i="2" s="1"/>
  <c r="I17" i="2"/>
  <c r="I18" i="2"/>
  <c r="I19" i="2"/>
  <c r="I20" i="2"/>
  <c r="J20" i="2" s="1"/>
  <c r="I21" i="2"/>
  <c r="I22" i="2"/>
  <c r="I23" i="2"/>
  <c r="I24" i="2"/>
  <c r="J24" i="2" s="1"/>
  <c r="I25" i="2"/>
  <c r="I26" i="2"/>
  <c r="I27" i="2"/>
  <c r="I28" i="2"/>
  <c r="J28" i="2" s="1"/>
  <c r="I29" i="2"/>
  <c r="I30" i="2"/>
  <c r="I31" i="2"/>
  <c r="I32" i="2"/>
  <c r="J32" i="2" s="1"/>
  <c r="I33" i="2"/>
  <c r="I34" i="2"/>
  <c r="I35" i="2"/>
  <c r="I36" i="2"/>
  <c r="J36" i="2" s="1"/>
  <c r="I37" i="2"/>
  <c r="I38" i="2"/>
  <c r="I39" i="2"/>
  <c r="I40" i="2"/>
  <c r="J40" i="2" s="1"/>
  <c r="I41" i="2"/>
  <c r="H5" i="2"/>
  <c r="J5" i="2" s="1"/>
  <c r="H6" i="2"/>
  <c r="J6" i="2" s="1"/>
  <c r="H7" i="2"/>
  <c r="J7" i="2" s="1"/>
  <c r="H8" i="2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H17" i="2"/>
  <c r="J17" i="2" s="1"/>
  <c r="H18" i="2"/>
  <c r="J18" i="2" s="1"/>
  <c r="H19" i="2"/>
  <c r="J19" i="2" s="1"/>
  <c r="H20" i="2"/>
  <c r="H21" i="2"/>
  <c r="J21" i="2" s="1"/>
  <c r="H22" i="2"/>
  <c r="J22" i="2" s="1"/>
  <c r="H23" i="2"/>
  <c r="J23" i="2" s="1"/>
  <c r="H24" i="2"/>
  <c r="H25" i="2"/>
  <c r="J25" i="2" s="1"/>
  <c r="H26" i="2"/>
  <c r="J26" i="2" s="1"/>
  <c r="H27" i="2"/>
  <c r="J27" i="2" s="1"/>
  <c r="H28" i="2"/>
  <c r="H29" i="2"/>
  <c r="J29" i="2" s="1"/>
  <c r="H30" i="2"/>
  <c r="J30" i="2" s="1"/>
  <c r="H31" i="2"/>
  <c r="J31" i="2" s="1"/>
  <c r="H32" i="2"/>
  <c r="H33" i="2"/>
  <c r="J33" i="2" s="1"/>
  <c r="H34" i="2"/>
  <c r="J34" i="2" s="1"/>
  <c r="H35" i="2"/>
  <c r="J35" i="2" s="1"/>
  <c r="H36" i="2"/>
  <c r="H37" i="2"/>
  <c r="J37" i="2" s="1"/>
  <c r="H38" i="2"/>
  <c r="J38" i="2" s="1"/>
  <c r="H39" i="2"/>
  <c r="J39" i="2" s="1"/>
  <c r="H40" i="2"/>
  <c r="H41" i="2"/>
  <c r="J41" i="2" s="1"/>
  <c r="E44" i="2"/>
  <c r="E43" i="2"/>
  <c r="F43" i="2"/>
  <c r="G44" i="2" s="1"/>
  <c r="G43" i="2"/>
  <c r="D43" i="2"/>
  <c r="M6" i="13" l="1"/>
  <c r="I6" i="13"/>
  <c r="M7" i="13"/>
  <c r="I7" i="13"/>
  <c r="I13" i="13" s="1"/>
  <c r="I18" i="13" s="1"/>
  <c r="I19" i="13" s="1"/>
  <c r="M8" i="13"/>
  <c r="H11" i="18"/>
  <c r="H34" i="18"/>
  <c r="H35" i="18" s="1"/>
  <c r="L11" i="13"/>
  <c r="E13" i="20" s="1"/>
  <c r="I11" i="13"/>
  <c r="I11" i="18"/>
  <c r="I34" i="18"/>
  <c r="I35" i="18" s="1"/>
  <c r="L6" i="9"/>
  <c r="L18" i="13"/>
  <c r="E21" i="20" s="1"/>
  <c r="D21" i="20"/>
  <c r="C9" i="19"/>
  <c r="C11" i="19" s="1"/>
  <c r="H7" i="13"/>
  <c r="H13" i="13" s="1"/>
  <c r="H18" i="13" s="1"/>
  <c r="C5" i="19"/>
  <c r="H6" i="13"/>
  <c r="C6" i="19"/>
  <c r="H11" i="13"/>
  <c r="F5" i="21"/>
  <c r="H12" i="13"/>
  <c r="H17" i="13"/>
  <c r="D5" i="19"/>
  <c r="C9" i="21"/>
  <c r="C11" i="21"/>
  <c r="D9" i="19"/>
  <c r="C12" i="21"/>
  <c r="D10" i="19"/>
  <c r="D6" i="19"/>
  <c r="C10" i="21"/>
  <c r="C16" i="21"/>
  <c r="C17" i="21" s="1"/>
  <c r="C20" i="21"/>
  <c r="C7" i="13"/>
  <c r="C13" i="13" s="1"/>
  <c r="D7" i="13"/>
  <c r="D13" i="13" s="1"/>
  <c r="C18" i="18"/>
  <c r="C19" i="18" s="1"/>
  <c r="D14" i="18"/>
  <c r="C14" i="18"/>
  <c r="D18" i="18"/>
  <c r="D19" i="18" s="1"/>
  <c r="C24" i="9"/>
  <c r="D24" i="9"/>
  <c r="E27" i="9"/>
  <c r="F27" i="9" s="1"/>
  <c r="E19" i="9"/>
  <c r="F19" i="9" s="1"/>
  <c r="C7" i="9"/>
  <c r="C11" i="9" s="1"/>
  <c r="C14" i="9" s="1"/>
  <c r="C17" i="9" s="1"/>
  <c r="E23" i="9"/>
  <c r="F23" i="9" s="1"/>
  <c r="E6" i="9"/>
  <c r="F6" i="9" s="1"/>
  <c r="E9" i="9"/>
  <c r="F9" i="9" s="1"/>
  <c r="E16" i="9"/>
  <c r="F16" i="9" s="1"/>
  <c r="E10" i="9"/>
  <c r="F10" i="9" s="1"/>
  <c r="E13" i="9"/>
  <c r="F13" i="9" s="1"/>
  <c r="D7" i="9"/>
  <c r="E22" i="9"/>
  <c r="F22" i="9" s="1"/>
  <c r="E5" i="9"/>
  <c r="F5" i="9" s="1"/>
  <c r="I8" i="13" l="1"/>
  <c r="H8" i="13"/>
  <c r="H19" i="13"/>
  <c r="H14" i="13"/>
  <c r="C18" i="20" s="1"/>
  <c r="K34" i="18"/>
  <c r="C17" i="20"/>
  <c r="I14" i="13"/>
  <c r="D17" i="20"/>
  <c r="L34" i="18"/>
  <c r="K35" i="18"/>
  <c r="E17" i="20" s="1"/>
  <c r="C7" i="19"/>
  <c r="C13" i="19" s="1"/>
  <c r="D7" i="19"/>
  <c r="H5" i="19" s="1"/>
  <c r="D11" i="19"/>
  <c r="H6" i="19" s="1"/>
  <c r="C8" i="21"/>
  <c r="C20" i="9"/>
  <c r="C26" i="9" s="1"/>
  <c r="C29" i="9" s="1"/>
  <c r="C21" i="21" s="1"/>
  <c r="C22" i="21" s="1"/>
  <c r="C10" i="18"/>
  <c r="C12" i="18" s="1"/>
  <c r="C19" i="20" s="1"/>
  <c r="E24" i="9"/>
  <c r="F24" i="9" s="1"/>
  <c r="E7" i="9"/>
  <c r="F7" i="9" s="1"/>
  <c r="D11" i="9"/>
  <c r="E11" i="9" s="1"/>
  <c r="F11" i="9" s="1"/>
  <c r="L14" i="13" l="1"/>
  <c r="E18" i="20" s="1"/>
  <c r="D18" i="20"/>
  <c r="C15" i="19"/>
  <c r="C15" i="20" s="1"/>
  <c r="C14" i="20"/>
  <c r="C15" i="18"/>
  <c r="C21" i="18" s="1"/>
  <c r="C24" i="18" s="1"/>
  <c r="K24" i="18" s="1"/>
  <c r="H10" i="18"/>
  <c r="H12" i="18" s="1"/>
  <c r="D13" i="19"/>
  <c r="C18" i="13"/>
  <c r="C24" i="13" s="1"/>
  <c r="C26" i="13" s="1"/>
  <c r="C26" i="18"/>
  <c r="D14" i="9"/>
  <c r="E14" i="9" s="1"/>
  <c r="F14" i="9" s="1"/>
  <c r="D14" i="20" l="1"/>
  <c r="G14" i="19"/>
  <c r="E14" i="20" s="1"/>
  <c r="C20" i="20"/>
  <c r="C16" i="20"/>
  <c r="K11" i="18"/>
  <c r="D15" i="19"/>
  <c r="G17" i="19" s="1"/>
  <c r="C28" i="18"/>
  <c r="D14" i="19"/>
  <c r="D17" i="9"/>
  <c r="D10" i="18" s="1"/>
  <c r="D15" i="20" l="1"/>
  <c r="E15" i="20"/>
  <c r="E17" i="9"/>
  <c r="F17" i="9" s="1"/>
  <c r="D12" i="18"/>
  <c r="D20" i="9"/>
  <c r="E20" i="9" s="1"/>
  <c r="F20" i="9" s="1"/>
  <c r="K30" i="18" l="1"/>
  <c r="E19" i="20" s="1"/>
  <c r="D19" i="20"/>
  <c r="D15" i="18"/>
  <c r="D21" i="18" s="1"/>
  <c r="D24" i="18" s="1"/>
  <c r="L24" i="18" s="1"/>
  <c r="I10" i="18"/>
  <c r="I12" i="18" s="1"/>
  <c r="D26" i="9"/>
  <c r="D29" i="9" s="1"/>
  <c r="C6" i="21" s="1"/>
  <c r="C13" i="21" s="1"/>
  <c r="E5" i="21" s="1"/>
  <c r="F7" i="21" s="1"/>
  <c r="D16" i="20" l="1"/>
  <c r="L11" i="18"/>
  <c r="K12" i="18"/>
  <c r="E16" i="20" s="1"/>
  <c r="K27" i="18"/>
  <c r="E20" i="20" s="1"/>
  <c r="D20" i="20"/>
  <c r="E29" i="9"/>
  <c r="F29" i="9" s="1"/>
  <c r="D26" i="18"/>
  <c r="D28" i="18" s="1"/>
  <c r="D18" i="13"/>
  <c r="D24" i="13" s="1"/>
  <c r="D26" i="13" s="1"/>
  <c r="E26" i="9"/>
  <c r="F26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E4D6D0-81ED-4E8B-B322-8CB5945EB0DC}" keepAlive="1" name="Requête - Balance" description="Connexion à la requête « Balance » dans le classeur." type="5" refreshedVersion="8" background="1" saveData="1">
    <dbPr connection="Provider=Microsoft.Mashup.OleDb.1;Data Source=$Workbook$;Location=Balance;Extended Properties=&quot;&quot;" command="SELECT * FROM [Balance]"/>
  </connection>
  <connection id="2" xr16:uid="{32E5D3FD-B029-492A-A225-F9623A8C9145}" keepAlive="1" name="Requête - Mapping" description="Connexion à la requête « Mapping » dans le classeur." type="5" refreshedVersion="8" background="1" saveData="1">
    <dbPr connection="Provider=Microsoft.Mashup.OleDb.1;Data Source=$Workbook$;Location=Mapping;Extended Properties=&quot;&quot;" command="SELECT * FROM [Mapping]"/>
  </connection>
</connections>
</file>

<file path=xl/sharedStrings.xml><?xml version="1.0" encoding="utf-8"?>
<sst xmlns="http://schemas.openxmlformats.org/spreadsheetml/2006/main" count="623" uniqueCount="276">
  <si>
    <t>N° Compte</t>
  </si>
  <si>
    <t>Intitulé</t>
  </si>
  <si>
    <t>Débit N-1</t>
  </si>
  <si>
    <t>Crédit N-1</t>
  </si>
  <si>
    <t>Débit N</t>
  </si>
  <si>
    <t>Crédit N</t>
  </si>
  <si>
    <t>Capital social</t>
  </si>
  <si>
    <t>Reserves</t>
  </si>
  <si>
    <t>Report a nouveau</t>
  </si>
  <si>
    <t>Emprunts aupres des ets de credit</t>
  </si>
  <si>
    <t>Logiciels</t>
  </si>
  <si>
    <t>Batiments</t>
  </si>
  <si>
    <t>Materiel et mobilier de bureau</t>
  </si>
  <si>
    <t>Materiel de transport</t>
  </si>
  <si>
    <t>Amort. logiciels</t>
  </si>
  <si>
    <t>Amort. batiments</t>
  </si>
  <si>
    <t>Amort. materiel et mobilier</t>
  </si>
  <si>
    <t>Amort. materiel de transport</t>
  </si>
  <si>
    <t>Marchandises</t>
  </si>
  <si>
    <t>Fournisseurs</t>
  </si>
  <si>
    <t>Clients</t>
  </si>
  <si>
    <t>Personnel, remunerations dues</t>
  </si>
  <si>
    <t>Organismes sociaux</t>
  </si>
  <si>
    <t>Etat, impots et taxes</t>
  </si>
  <si>
    <t>TVA a decaisser</t>
  </si>
  <si>
    <t>Caisse</t>
  </si>
  <si>
    <t>Achats de marchandises (part 1)</t>
  </si>
  <si>
    <t>Achats de marchandises (part 2)</t>
  </si>
  <si>
    <t>Autres achats</t>
  </si>
  <si>
    <t>Entretien, reparations et maintenance</t>
  </si>
  <si>
    <t>Transports sur achats/ventes</t>
  </si>
  <si>
    <t>Redevances de credit-bail</t>
  </si>
  <si>
    <t>Remunerations d'intermediaires et personnel exterieur</t>
  </si>
  <si>
    <t>Autres services exterieurs</t>
  </si>
  <si>
    <t>Impots et taxes</t>
  </si>
  <si>
    <t>Charges de personnel (salaires)</t>
  </si>
  <si>
    <t>Charges sociales</t>
  </si>
  <si>
    <t>Dotations aux amortissements</t>
  </si>
  <si>
    <t>Charges financieres (interets)</t>
  </si>
  <si>
    <t>Impots sur le resultat</t>
  </si>
  <si>
    <t>Ventes de marchandises</t>
  </si>
  <si>
    <t>Autres produits divers</t>
  </si>
  <si>
    <t>Produits financiers</t>
  </si>
  <si>
    <t>Banque</t>
  </si>
  <si>
    <t>Contrôle Débit = Crédit</t>
  </si>
  <si>
    <t>#</t>
  </si>
  <si>
    <t>Comptes concernés</t>
  </si>
  <si>
    <t>Anormies identifiées</t>
  </si>
  <si>
    <t>Méthode de détection</t>
  </si>
  <si>
    <t>Correction apportée</t>
  </si>
  <si>
    <t>Validé par</t>
  </si>
  <si>
    <t>Journal des anormalies détectées et corrections apportées</t>
  </si>
  <si>
    <t xml:space="preserve">613100 - Redevances de credit-bail </t>
  </si>
  <si>
    <t>Contrôle</t>
  </si>
  <si>
    <t>Solde N-1</t>
  </si>
  <si>
    <t>Solde N</t>
  </si>
  <si>
    <t>⚠️ 3 anormalies identifiées, nettoyées et documentées : Voir dans l'onglet Anormalies</t>
  </si>
  <si>
    <t>601000 - Achats de marchandises (part 2)</t>
  </si>
  <si>
    <t>612000 - Entretien, reparations et maintenance</t>
  </si>
  <si>
    <t>Total</t>
  </si>
  <si>
    <t>Stocks</t>
  </si>
  <si>
    <t>Amortissements</t>
  </si>
  <si>
    <t>Capitaux_Propres</t>
  </si>
  <si>
    <t>Dettes_Financieres</t>
  </si>
  <si>
    <t>Immo_Brut</t>
  </si>
  <si>
    <t>Dettes_Fournisseurs</t>
  </si>
  <si>
    <t>Creances_Clients</t>
  </si>
  <si>
    <t>Dettes_Sociales_Fiscales</t>
  </si>
  <si>
    <t>Tresorerie_Actif</t>
  </si>
  <si>
    <t>Achats_Marchandises</t>
  </si>
  <si>
    <t>Consommations</t>
  </si>
  <si>
    <t>Impots_Taxes</t>
  </si>
  <si>
    <t>Charges_Personnel</t>
  </si>
  <si>
    <t>Charges_Financieres</t>
  </si>
  <si>
    <t>Produits_Divers</t>
  </si>
  <si>
    <t>Chiffre_Affaires</t>
  </si>
  <si>
    <t>Produits_Financiers</t>
  </si>
  <si>
    <t>101</t>
  </si>
  <si>
    <t>106</t>
  </si>
  <si>
    <t>110</t>
  </si>
  <si>
    <t>162</t>
  </si>
  <si>
    <t>213</t>
  </si>
  <si>
    <t>231</t>
  </si>
  <si>
    <t>244</t>
  </si>
  <si>
    <t>245</t>
  </si>
  <si>
    <t>2813</t>
  </si>
  <si>
    <t>2831</t>
  </si>
  <si>
    <t>2844</t>
  </si>
  <si>
    <t>2845</t>
  </si>
  <si>
    <t>311</t>
  </si>
  <si>
    <t>401</t>
  </si>
  <si>
    <t>411</t>
  </si>
  <si>
    <t>422</t>
  </si>
  <si>
    <t>431</t>
  </si>
  <si>
    <t>447</t>
  </si>
  <si>
    <t>445</t>
  </si>
  <si>
    <t>571</t>
  </si>
  <si>
    <t>601</t>
  </si>
  <si>
    <t>605</t>
  </si>
  <si>
    <t>612</t>
  </si>
  <si>
    <t>611</t>
  </si>
  <si>
    <t>613</t>
  </si>
  <si>
    <t>622</t>
  </si>
  <si>
    <t>628</t>
  </si>
  <si>
    <t>641</t>
  </si>
  <si>
    <t>661</t>
  </si>
  <si>
    <t>664</t>
  </si>
  <si>
    <t>681</t>
  </si>
  <si>
    <t>671</t>
  </si>
  <si>
    <t>891</t>
  </si>
  <si>
    <t>701</t>
  </si>
  <si>
    <t>758</t>
  </si>
  <si>
    <t>771</t>
  </si>
  <si>
    <t>521</t>
  </si>
  <si>
    <t>(Tous)</t>
  </si>
  <si>
    <t>N-1</t>
  </si>
  <si>
    <t>N</t>
  </si>
  <si>
    <t>ecart absolu</t>
  </si>
  <si>
    <t>ecart en %</t>
  </si>
  <si>
    <t>Impot_Resultat</t>
  </si>
  <si>
    <t>MARGE COMMERCIALE</t>
  </si>
  <si>
    <t>VALEUR AJOUTEE</t>
  </si>
  <si>
    <t>MARGE BRUTE</t>
  </si>
  <si>
    <t>EBITDA / EBE</t>
  </si>
  <si>
    <t>EBIT / Résultat d'Exploitation</t>
  </si>
  <si>
    <t>RESULTAT FINANCIER</t>
  </si>
  <si>
    <t>RESULTAT AVANT-IMPOT</t>
  </si>
  <si>
    <t>RESULTAT NET</t>
  </si>
  <si>
    <t>Bucket</t>
  </si>
  <si>
    <t>PASSIF</t>
  </si>
  <si>
    <t>ACTIF</t>
  </si>
  <si>
    <t>CR</t>
  </si>
  <si>
    <t>Position</t>
  </si>
  <si>
    <t>Libellé de compte</t>
  </si>
  <si>
    <t xml:space="preserve"> </t>
  </si>
  <si>
    <t>COMPTE DE RESULTAT - SOLDES INTERMEDIAIRES DE GESTION (SIG)</t>
  </si>
  <si>
    <t>Libellé</t>
  </si>
  <si>
    <t>Solde.N-1</t>
  </si>
  <si>
    <t>Solde.N</t>
  </si>
  <si>
    <t>BILAN - ACTIF / PASSIF</t>
  </si>
  <si>
    <t>BESOIN EN FONDS DE ROULEMENT (BFR)</t>
  </si>
  <si>
    <t xml:space="preserve">TABLEAU DE FLUX DE TRESORERIE - </t>
  </si>
  <si>
    <t>TOTAL ACTIF</t>
  </si>
  <si>
    <t>Immobilisations nettes</t>
  </si>
  <si>
    <t>Immobilisations brutes</t>
  </si>
  <si>
    <t>Tresorerie Actif</t>
  </si>
  <si>
    <t>Creances Clients</t>
  </si>
  <si>
    <t>Résultat de l'exercice</t>
  </si>
  <si>
    <t xml:space="preserve">   [ + ] Neutralisation Redevances crédit-bail</t>
  </si>
  <si>
    <t>EBITDA Brut / EBE Brut</t>
  </si>
  <si>
    <t>Dotation aux amortissements (Quote-part 70%)</t>
  </si>
  <si>
    <t>Charge financière (Quote-part 30%)</t>
  </si>
  <si>
    <t>RESULTAT NET RETRAITE</t>
  </si>
  <si>
    <t>EBIT NET / Résultat d'Exploitation Normalisé</t>
  </si>
  <si>
    <t>Charges financières ajustées</t>
  </si>
  <si>
    <t>RESULTAT FINANCIER RETRAITE</t>
  </si>
  <si>
    <t>Dotations aux amortissements ajustées</t>
  </si>
  <si>
    <t>RESULTAT NET BRUT</t>
  </si>
  <si>
    <t xml:space="preserve">Contrôle d'ecart   :    </t>
  </si>
  <si>
    <t xml:space="preserve">   &gt;  Retraitement 622 - Remunerations d'intermediaires et personnel exterieur</t>
  </si>
  <si>
    <t xml:space="preserve">   &gt;  Retraitement 613 - Redevances de crédit-bail</t>
  </si>
  <si>
    <t>Consommations Brut</t>
  </si>
  <si>
    <t>Consommations Retraitées</t>
  </si>
  <si>
    <t>Charge du personnel Brut</t>
  </si>
  <si>
    <t>Charge du personnel Retraitée</t>
  </si>
  <si>
    <t xml:space="preserve">Libellé </t>
  </si>
  <si>
    <t>Dettes Sociales Fiscales</t>
  </si>
  <si>
    <t>BFR (Actif Cir. - Passif Cir.)</t>
  </si>
  <si>
    <t xml:space="preserve">Contrôle (Actif = Passif)    </t>
  </si>
  <si>
    <t>Variation du BFR</t>
  </si>
  <si>
    <t>Résultat d'exercice</t>
  </si>
  <si>
    <t xml:space="preserve">   [+] Dotations aux amortissements</t>
  </si>
  <si>
    <t xml:space="preserve">   [-] Variation du BFR</t>
  </si>
  <si>
    <t>FLUX DE TRESORERIE D'EXPLOITATION</t>
  </si>
  <si>
    <t>FLUX NET DE TRESORERIE D'EXPLOITATION</t>
  </si>
  <si>
    <t>FLUX DE TRESORERIE D'INVESTISSEMENT</t>
  </si>
  <si>
    <t xml:space="preserve">   [-] Acquisition d'immobilsations (▲ Immo, Brutes)</t>
  </si>
  <si>
    <t>FLUX NET DE TRESORERIE D'INVESTISSEMENT</t>
  </si>
  <si>
    <t xml:space="preserve">FLUX DE TRESORERIE DE FINANCEMENT </t>
  </si>
  <si>
    <t xml:space="preserve">   [+] Dettes financières (Variation annuelle)</t>
  </si>
  <si>
    <t xml:space="preserve">   [-] Distribution des dividendes (estimation)</t>
  </si>
  <si>
    <t xml:space="preserve">FLUX NET DE TRESORERIE DE FINANCEMENT </t>
  </si>
  <si>
    <t xml:space="preserve">Montant </t>
  </si>
  <si>
    <t>Trésorerie N-1</t>
  </si>
  <si>
    <t>Trésorerie N</t>
  </si>
  <si>
    <t xml:space="preserve">Variation Nette Trésorerie </t>
  </si>
  <si>
    <t xml:space="preserve">   ▲ Dettes_Sociales_Fiscales</t>
  </si>
  <si>
    <t xml:space="preserve">   ▲ Dettes_Fournisseurs</t>
  </si>
  <si>
    <t xml:space="preserve">   ▲ Creances Clients</t>
  </si>
  <si>
    <t xml:space="preserve">   ▲ Stocks</t>
  </si>
  <si>
    <t>Contrôle de réconciliation :</t>
  </si>
  <si>
    <t xml:space="preserve">   [-] Amortissements</t>
  </si>
  <si>
    <t>Suivi de trésorerie et des indicateurs clés</t>
  </si>
  <si>
    <t>Indicateurs</t>
  </si>
  <si>
    <t>Lecture / Commentaire</t>
  </si>
  <si>
    <t>Ratio de Liquidité Générale</t>
  </si>
  <si>
    <t>Ratio de Liquidité Réduite</t>
  </si>
  <si>
    <t>Evolution</t>
  </si>
  <si>
    <t>RATIOS DE LIQUIDITE</t>
  </si>
  <si>
    <t xml:space="preserve">   Actif Circulant </t>
  </si>
  <si>
    <t xml:space="preserve">   Dettes à Court Terme</t>
  </si>
  <si>
    <t>Liquidité Générale</t>
  </si>
  <si>
    <t>Liquidité Réduite</t>
  </si>
  <si>
    <t>Liquidité Immédiate</t>
  </si>
  <si>
    <t>Ratio de Liquidité Immédiate</t>
  </si>
  <si>
    <t xml:space="preserve">   Disponibilités</t>
  </si>
  <si>
    <t xml:space="preserve">   Disponibiltés</t>
  </si>
  <si>
    <t xml:space="preserve">   Créances Clients</t>
  </si>
  <si>
    <t xml:space="preserve">   &gt;  Rentabilité opérationnelle Pure</t>
  </si>
  <si>
    <t>Chiffre d'Affaires</t>
  </si>
  <si>
    <t>Ratio de Rentabilité Opérationnelle</t>
  </si>
  <si>
    <t xml:space="preserve">   &gt;  Performance du Personnelle</t>
  </si>
  <si>
    <t>EBITDA / EBE (Ajusté)</t>
  </si>
  <si>
    <t>Charge du personnel (Ajustée)</t>
  </si>
  <si>
    <t>Ratio de Performance Opérationnelle</t>
  </si>
  <si>
    <t>EBITDA Normalisé / EBE Retraité</t>
  </si>
  <si>
    <t>Créances clients [AR]</t>
  </si>
  <si>
    <t>Stocks [Inventory]</t>
  </si>
  <si>
    <t>Dettes Fournisseurs [AP]</t>
  </si>
  <si>
    <r>
      <t xml:space="preserve">CASH GAP </t>
    </r>
    <r>
      <rPr>
        <b/>
        <i/>
        <sz val="10"/>
        <color theme="1"/>
        <rFont val="Century Gothic"/>
        <family val="2"/>
      </rPr>
      <t>(BFR/CA)*365</t>
    </r>
    <r>
      <rPr>
        <b/>
        <sz val="12"/>
        <color theme="1"/>
        <rFont val="Century Gothic"/>
        <family val="2"/>
      </rPr>
      <t xml:space="preserve"> jrs</t>
    </r>
  </si>
  <si>
    <t>Variation RLR</t>
  </si>
  <si>
    <t>Variation Trésorerie</t>
  </si>
  <si>
    <t>Variation Rentabilité Opérationnelle</t>
  </si>
  <si>
    <t>Variation Performance Opérationnelle</t>
  </si>
  <si>
    <t>Variation Résultat Net Normalisé</t>
  </si>
  <si>
    <t>Variation Chiffre d'affaires</t>
  </si>
  <si>
    <t>Variation Dettes financières</t>
  </si>
  <si>
    <t>Variation Cash Gap</t>
  </si>
  <si>
    <t>Variation EBITDA Normalisé</t>
  </si>
  <si>
    <t>Excellente liquidité : La hausse de trésorerie confirme la rentabilité générée par l'activité se traduit par du cash réel en banque</t>
  </si>
  <si>
    <t xml:space="preserve">   Trésorerie ( Banque + Caisse)</t>
  </si>
  <si>
    <t xml:space="preserve">   Cash Gap (Jours)</t>
  </si>
  <si>
    <t xml:space="preserve">   Rentabilité Opérationnelle </t>
  </si>
  <si>
    <t xml:space="preserve">   Performance opérationnelle </t>
  </si>
  <si>
    <t xml:space="preserve">   Ratio de Liquidité Réduite</t>
  </si>
  <si>
    <t xml:space="preserve">   EBE Retraité (Hors one-offs)</t>
  </si>
  <si>
    <t xml:space="preserve">   Résultat Net Retraité</t>
  </si>
  <si>
    <t xml:space="preserve">   Dettes financières restantes</t>
  </si>
  <si>
    <t>Point de vigilance : L'activité consomme plus de ressources à court terme, nécessité d'un suivi rigoureux des encours clients et des stocks</t>
  </si>
  <si>
    <t xml:space="preserve">Légère dégradation : Le cycle de conversion du cash s'allonge de +1 jour. Cette dérive explique directement la hausse du BFR constatée </t>
  </si>
  <si>
    <t>Performance solide : La légère baisse de 0,7 point montre une bonne maîtrise des coûts face à la hausse du chiffre d'affaires</t>
  </si>
  <si>
    <t>Productivité maîtrisée : Le poids des charges de personnel reste stable et l'impact du personnel extérieur est totalement absorbé par la croissance de l'activité</t>
  </si>
  <si>
    <t>Structure très sécurisée. Bien qu'en léger repli, l'entreprise dispose de 2,50 € d'actifs à court terme pour chaque euro de dette immédiate (seuil d'alerte à 1,0)</t>
  </si>
  <si>
    <t>Forte performance du cœur de métier : Les retraitements économiques confirment la forte rentabilité structurelle de l'exploitation</t>
  </si>
  <si>
    <t>Capacité d'autofinancement en hausse : Cette performance renforce les capitaux propres et valide la rentabilité globale de l'exercice</t>
  </si>
  <si>
    <t>Désendettement stratégique : L'entreprise utilise son cash disponible pour assainir sa structure financière et rassurer les partenaires bancaires</t>
  </si>
  <si>
    <t xml:space="preserve">   Besoin en Fonds de Roulement </t>
  </si>
  <si>
    <t>Actif circulant hors trésorerie</t>
  </si>
  <si>
    <t>Passif circulant hors trésorerie</t>
  </si>
  <si>
    <t>DSO</t>
  </si>
  <si>
    <t>DIO</t>
  </si>
  <si>
    <t>DPO</t>
  </si>
  <si>
    <t>TOTAL PASSIF</t>
  </si>
  <si>
    <t>KOSSOU DISTRIBUTION — Balance générale (export brut logiciel comptable)</t>
  </si>
  <si>
    <t>-</t>
  </si>
  <si>
    <t>Prefixe = 3 premiers chiffres du n° de compte SYSCOHADA</t>
  </si>
  <si>
    <t>Plan de mapping comptable (Balance &gt; Compte de Résultat / Bilan)</t>
  </si>
  <si>
    <t>Vérification et identification des anormalies</t>
  </si>
  <si>
    <t>Balance nettoyée et consolidée (formules SUMIFS sur 1.Balance_Brute)</t>
  </si>
  <si>
    <t>Hypothèses documentées ci-dessous - sans impact sur la trésorerie réelle de l'entreprise</t>
  </si>
  <si>
    <t>Retraitements analytiques - Normalisation de l'EBE (EBITDA)</t>
  </si>
  <si>
    <t>Unité : milliers de FCFA (K FCFA)  |  Exercices N-1 et N</t>
  </si>
  <si>
    <t>en milliers de FCFA - construit par formule à partir de Balance &amp; Mapping</t>
  </si>
  <si>
    <t>en milliers de FCFA - construit par formule à partir de Balance, Mapping et P&amp;L</t>
  </si>
  <si>
    <t>en milliers de FCFA - construit à partir du Bilan</t>
  </si>
  <si>
    <t>en milliers de FCFA - reconstruit à partir du Bilan N-1/N et du P&amp;L N par Méthode Indirecte (Exercice N)</t>
  </si>
  <si>
    <t>Ventilation de la redevance de crédit-bail (Hypothèse : 70% dotation / 30% intérêts (IFRS-like)</t>
  </si>
  <si>
    <t>PowerQuery : extraction des 3 premiers chiffres (613) et fusionné avec le Mapping. Le bucket Consommations doit être débiteur</t>
  </si>
  <si>
    <t>6000 au Débit N dans la Balance nettoyée. Après correction, le solde est +6000 et le contrôle repasse à 0</t>
  </si>
  <si>
    <t>En N, le compte 613100 est saisi en Crédit 6000 au lieu de Débit. Ça crée un écart de -12 000 dans le contrôle Débit=Crédit et le contrôle Nettoyage passe en FALSE</t>
  </si>
  <si>
    <t>Le compte 601000 apparaît 2 fois en N : 100800 + 67200. Le contrôle Nettoyage passe en FALSE car la 2e ligne a un débit sans contrepartie</t>
  </si>
  <si>
    <t>PowerQuery : extraction des 3 chiffres (601) -  fusion avec le Mapping, groupement par préfixe</t>
  </si>
  <si>
    <t>Combinaison des 2 lignes avec SUMIF. Le solde final 601 est 168000 dans la Balance nettoyée</t>
  </si>
  <si>
    <t>En N-1, le 612000 est à 0 mais en N il y a 1450 en Débit. Le solde N-1 reste à 0, le contrôle est FALSE car la formule de report ne l'avait pas pris</t>
  </si>
  <si>
    <t>PowerQuery : le préfixe 612 est bien mappé en Consommations</t>
  </si>
  <si>
    <t>Etirement de la formule de solde pour intégrer le 1450. Le solde N final est 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</si>
</sst>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-* #,##0.0_-;\-* #,##0.0_-;_-* &quot;-&quot;_-;_-@_-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rgb="FFFFFFFF"/>
      <name val="Century Gothic"/>
      <family val="2"/>
    </font>
    <font>
      <sz val="11"/>
      <color rgb="FF0000FF"/>
      <name val="Century Gothic"/>
      <family val="2"/>
    </font>
    <font>
      <u/>
      <sz val="11"/>
      <color theme="10"/>
      <name val="Calibri"/>
      <family val="2"/>
      <charset val="1"/>
    </font>
    <font>
      <b/>
      <sz val="12"/>
      <color theme="1"/>
      <name val="Century Gothic"/>
      <family val="2"/>
    </font>
    <font>
      <u/>
      <sz val="11"/>
      <color rgb="FFFF0000"/>
      <name val="Century Gothic"/>
      <family val="2"/>
    </font>
    <font>
      <b/>
      <sz val="12"/>
      <color rgb="FFFFFFFF"/>
      <name val="Century Gothic"/>
      <family val="2"/>
    </font>
    <font>
      <sz val="12"/>
      <name val="Century Gothic"/>
      <family val="2"/>
    </font>
    <font>
      <sz val="11"/>
      <color theme="1"/>
      <name val="Calibri"/>
      <family val="2"/>
      <charset val="1"/>
    </font>
    <font>
      <b/>
      <sz val="12"/>
      <name val="Century Gothic"/>
      <family val="2"/>
    </font>
    <font>
      <i/>
      <sz val="12"/>
      <name val="Century Gothic"/>
      <family val="2"/>
    </font>
    <font>
      <sz val="12"/>
      <color rgb="FF0000FF"/>
      <name val="Century Gothic"/>
      <family val="2"/>
    </font>
    <font>
      <b/>
      <sz val="12"/>
      <color theme="0"/>
      <name val="Century Gothic"/>
      <family val="2"/>
    </font>
    <font>
      <sz val="8"/>
      <name val="Calibri"/>
      <family val="2"/>
      <charset val="1"/>
    </font>
    <font>
      <i/>
      <sz val="10"/>
      <color theme="1"/>
      <name val="Century Gothic"/>
      <family val="2"/>
    </font>
    <font>
      <sz val="11"/>
      <color theme="1"/>
      <name val="Century Gothic"/>
    </font>
    <font>
      <sz val="12"/>
      <color theme="1"/>
      <name val="Century Gothic"/>
    </font>
    <font>
      <b/>
      <sz val="14"/>
      <color theme="1"/>
      <name val="Century Gothic"/>
      <family val="2"/>
    </font>
    <font>
      <b/>
      <i/>
      <sz val="10"/>
      <color theme="1"/>
      <name val="Century Gothic"/>
      <family val="2"/>
    </font>
    <font>
      <b/>
      <i/>
      <sz val="10"/>
      <color rgb="FF0070C0"/>
      <name val="Century Gothic"/>
      <family val="2"/>
    </font>
    <font>
      <sz val="14"/>
      <name val="Century Gothic"/>
      <family val="2"/>
    </font>
    <font>
      <b/>
      <sz val="14"/>
      <color theme="0"/>
      <name val="Century Gothic"/>
      <family val="2"/>
    </font>
    <font>
      <i/>
      <sz val="11"/>
      <name val="Century Gothic"/>
      <family val="2"/>
    </font>
    <font>
      <i/>
      <sz val="10"/>
      <name val="Century Gothic"/>
      <family val="2"/>
    </font>
    <font>
      <b/>
      <sz val="14"/>
      <name val="Century Gothic"/>
      <family val="2"/>
    </font>
    <font>
      <sz val="14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3" fontId="2" fillId="0" borderId="0" xfId="0" applyNumberFormat="1" applyFont="1"/>
    <xf numFmtId="0" fontId="2" fillId="0" borderId="0" xfId="0" applyFont="1" applyAlignment="1">
      <alignment horizontal="centerContinuous"/>
    </xf>
    <xf numFmtId="0" fontId="7" fillId="0" borderId="0" xfId="1" applyFont="1" applyAlignment="1">
      <alignment horizontal="left"/>
    </xf>
    <xf numFmtId="0" fontId="2" fillId="0" borderId="0" xfId="0" applyFont="1" applyAlignment="1">
      <alignment horizontal="right"/>
    </xf>
    <xf numFmtId="3" fontId="4" fillId="0" borderId="4" xfId="0" applyNumberFormat="1" applyFont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9" xfId="0" applyFont="1" applyBorder="1"/>
    <xf numFmtId="3" fontId="4" fillId="0" borderId="9" xfId="0" applyNumberFormat="1" applyFont="1" applyBorder="1"/>
    <xf numFmtId="3" fontId="4" fillId="0" borderId="10" xfId="0" applyNumberFormat="1" applyFont="1" applyBorder="1"/>
    <xf numFmtId="0" fontId="4" fillId="0" borderId="3" xfId="0" applyFont="1" applyBorder="1"/>
    <xf numFmtId="0" fontId="4" fillId="0" borderId="8" xfId="0" applyFont="1" applyBorder="1"/>
    <xf numFmtId="0" fontId="12" fillId="0" borderId="0" xfId="0" applyFont="1"/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3" fillId="0" borderId="1" xfId="0" applyFont="1" applyBorder="1"/>
    <xf numFmtId="3" fontId="13" fillId="0" borderId="1" xfId="0" applyNumberFormat="1" applyFont="1" applyBorder="1"/>
    <xf numFmtId="3" fontId="13" fillId="0" borderId="4" xfId="0" applyNumberFormat="1" applyFont="1" applyBorder="1"/>
    <xf numFmtId="0" fontId="13" fillId="0" borderId="9" xfId="0" applyFont="1" applyBorder="1"/>
    <xf numFmtId="3" fontId="13" fillId="0" borderId="9" xfId="0" applyNumberFormat="1" applyFont="1" applyBorder="1"/>
    <xf numFmtId="3" fontId="13" fillId="0" borderId="10" xfId="0" applyNumberFormat="1" applyFont="1" applyBorder="1"/>
    <xf numFmtId="41" fontId="2" fillId="0" borderId="0" xfId="2" applyFont="1"/>
    <xf numFmtId="41" fontId="2" fillId="3" borderId="0" xfId="2" applyFont="1" applyFill="1"/>
    <xf numFmtId="164" fontId="2" fillId="3" borderId="0" xfId="3" applyNumberFormat="1" applyFont="1" applyFill="1" applyAlignment="1">
      <alignment horizontal="center"/>
    </xf>
    <xf numFmtId="41" fontId="6" fillId="0" borderId="0" xfId="2" applyFont="1"/>
    <xf numFmtId="164" fontId="14" fillId="4" borderId="0" xfId="3" applyNumberFormat="1" applyFont="1" applyFill="1" applyAlignment="1">
      <alignment horizontal="center"/>
    </xf>
    <xf numFmtId="41" fontId="1" fillId="0" borderId="0" xfId="2" applyFont="1"/>
    <xf numFmtId="41" fontId="2" fillId="0" borderId="0" xfId="2" applyFont="1" applyAlignment="1">
      <alignment horizontal="center" vertical="center" wrapText="1"/>
    </xf>
    <xf numFmtId="41" fontId="2" fillId="5" borderId="0" xfId="2" applyFont="1" applyFill="1"/>
    <xf numFmtId="164" fontId="2" fillId="5" borderId="0" xfId="3" applyNumberFormat="1" applyFont="1" applyFill="1" applyAlignment="1">
      <alignment horizontal="center"/>
    </xf>
    <xf numFmtId="41" fontId="19" fillId="0" borderId="0" xfId="2" applyFont="1"/>
    <xf numFmtId="41" fontId="16" fillId="0" borderId="0" xfId="2" applyFont="1" applyAlignment="1">
      <alignment vertical="top"/>
    </xf>
    <xf numFmtId="41" fontId="2" fillId="0" borderId="0" xfId="2" applyFont="1" applyAlignment="1">
      <alignment horizontal="center"/>
    </xf>
    <xf numFmtId="41" fontId="17" fillId="0" borderId="0" xfId="2" pivotButton="1" applyFont="1"/>
    <xf numFmtId="41" fontId="17" fillId="0" borderId="0" xfId="2" applyFont="1"/>
    <xf numFmtId="41" fontId="2" fillId="3" borderId="2" xfId="2" applyFont="1" applyFill="1" applyBorder="1"/>
    <xf numFmtId="41" fontId="2" fillId="5" borderId="2" xfId="2" applyFont="1" applyFill="1" applyBorder="1"/>
    <xf numFmtId="41" fontId="18" fillId="0" borderId="0" xfId="2" applyFont="1"/>
    <xf numFmtId="41" fontId="6" fillId="0" borderId="2" xfId="2" applyFont="1" applyFill="1" applyBorder="1"/>
    <xf numFmtId="41" fontId="2" fillId="0" borderId="0" xfId="2" applyFont="1" applyAlignment="1">
      <alignment horizontal="center" vertical="center"/>
    </xf>
    <xf numFmtId="41" fontId="6" fillId="5" borderId="0" xfId="2" applyFont="1" applyFill="1"/>
    <xf numFmtId="41" fontId="2" fillId="0" borderId="11" xfId="2" applyFont="1" applyBorder="1"/>
    <xf numFmtId="41" fontId="6" fillId="0" borderId="11" xfId="2" applyFont="1" applyBorder="1" applyAlignment="1">
      <alignment horizontal="right"/>
    </xf>
    <xf numFmtId="41" fontId="1" fillId="3" borderId="0" xfId="2" applyFont="1" applyFill="1"/>
    <xf numFmtId="41" fontId="6" fillId="0" borderId="0" xfId="2" applyFont="1" applyAlignment="1">
      <alignment horizontal="center" vertical="center"/>
    </xf>
    <xf numFmtId="41" fontId="2" fillId="0" borderId="12" xfId="2" applyFont="1" applyBorder="1"/>
    <xf numFmtId="41" fontId="16" fillId="0" borderId="13" xfId="2" applyFont="1" applyBorder="1"/>
    <xf numFmtId="41" fontId="2" fillId="0" borderId="13" xfId="2" applyFont="1" applyBorder="1"/>
    <xf numFmtId="41" fontId="6" fillId="5" borderId="11" xfId="2" applyFont="1" applyFill="1" applyBorder="1"/>
    <xf numFmtId="41" fontId="2" fillId="0" borderId="11" xfId="2" applyFont="1" applyBorder="1" applyAlignment="1">
      <alignment horizontal="right"/>
    </xf>
    <xf numFmtId="41" fontId="2" fillId="3" borderId="0" xfId="2" applyFont="1" applyFill="1" applyBorder="1"/>
    <xf numFmtId="41" fontId="2" fillId="0" borderId="0" xfId="2" applyFont="1" applyBorder="1"/>
    <xf numFmtId="41" fontId="2" fillId="0" borderId="0" xfId="2" applyFont="1" applyAlignment="1">
      <alignment vertical="center"/>
    </xf>
    <xf numFmtId="41" fontId="2" fillId="0" borderId="11" xfId="2" applyFont="1" applyBorder="1" applyAlignment="1">
      <alignment horizontal="center"/>
    </xf>
    <xf numFmtId="41" fontId="21" fillId="3" borderId="0" xfId="2" applyFont="1" applyFill="1" applyBorder="1" applyAlignment="1">
      <alignment horizontal="right" vertical="top"/>
    </xf>
    <xf numFmtId="41" fontId="21" fillId="3" borderId="0" xfId="2" applyFont="1" applyFill="1" applyBorder="1" applyAlignment="1">
      <alignment vertical="top"/>
    </xf>
    <xf numFmtId="41" fontId="6" fillId="0" borderId="0" xfId="2" applyFont="1" applyAlignment="1">
      <alignment horizontal="left"/>
    </xf>
    <xf numFmtId="41" fontId="8" fillId="2" borderId="1" xfId="2" applyFont="1" applyFill="1" applyBorder="1" applyAlignment="1">
      <alignment horizontal="center" vertical="center" wrapText="1"/>
    </xf>
    <xf numFmtId="41" fontId="9" fillId="0" borderId="1" xfId="2" applyFont="1" applyBorder="1" applyAlignment="1">
      <alignment horizontal="center" vertical="center"/>
    </xf>
    <xf numFmtId="41" fontId="9" fillId="0" borderId="1" xfId="2" applyFont="1" applyBorder="1" applyAlignment="1">
      <alignment vertical="center" wrapText="1"/>
    </xf>
    <xf numFmtId="0" fontId="13" fillId="0" borderId="3" xfId="0" applyFont="1" applyBorder="1"/>
    <xf numFmtId="0" fontId="13" fillId="0" borderId="8" xfId="0" applyFont="1" applyBorder="1"/>
    <xf numFmtId="165" fontId="2" fillId="0" borderId="0" xfId="2" applyNumberFormat="1" applyFont="1"/>
    <xf numFmtId="41" fontId="14" fillId="6" borderId="15" xfId="2" applyFont="1" applyFill="1" applyBorder="1" applyAlignment="1">
      <alignment horizontal="center" vertical="center"/>
    </xf>
    <xf numFmtId="41" fontId="14" fillId="6" borderId="14" xfId="2" applyFont="1" applyFill="1" applyBorder="1" applyAlignment="1">
      <alignment horizontal="center" vertical="center"/>
    </xf>
    <xf numFmtId="41" fontId="14" fillId="6" borderId="16" xfId="2" applyFont="1" applyFill="1" applyBorder="1" applyAlignment="1">
      <alignment horizontal="center" vertical="center"/>
    </xf>
    <xf numFmtId="41" fontId="2" fillId="3" borderId="0" xfId="2" applyFont="1" applyFill="1" applyAlignment="1">
      <alignment vertical="center"/>
    </xf>
    <xf numFmtId="41" fontId="2" fillId="5" borderId="0" xfId="2" applyFont="1" applyFill="1" applyAlignment="1">
      <alignment vertical="center"/>
    </xf>
    <xf numFmtId="165" fontId="6" fillId="5" borderId="0" xfId="2" applyNumberFormat="1" applyFont="1" applyFill="1"/>
    <xf numFmtId="165" fontId="6" fillId="0" borderId="0" xfId="2" applyNumberFormat="1" applyFont="1"/>
    <xf numFmtId="164" fontId="6" fillId="0" borderId="0" xfId="3" applyNumberFormat="1" applyFont="1"/>
    <xf numFmtId="164" fontId="2" fillId="0" borderId="0" xfId="2" applyNumberFormat="1" applyFont="1"/>
    <xf numFmtId="164" fontId="2" fillId="0" borderId="0" xfId="3" applyNumberFormat="1" applyFont="1"/>
    <xf numFmtId="41" fontId="2" fillId="0" borderId="0" xfId="2" applyFont="1" applyBorder="1" applyAlignment="1">
      <alignment vertical="center"/>
    </xf>
    <xf numFmtId="41" fontId="1" fillId="0" borderId="0" xfId="2" applyFont="1" applyAlignment="1">
      <alignment vertical="center" wrapText="1"/>
    </xf>
    <xf numFmtId="164" fontId="2" fillId="0" borderId="0" xfId="3" applyNumberFormat="1" applyFont="1" applyAlignment="1">
      <alignment vertical="center"/>
    </xf>
    <xf numFmtId="165" fontId="2" fillId="0" borderId="0" xfId="2" applyNumberFormat="1" applyFont="1" applyAlignment="1">
      <alignment vertical="center"/>
    </xf>
    <xf numFmtId="41" fontId="6" fillId="0" borderId="13" xfId="2" applyFont="1" applyBorder="1" applyAlignment="1">
      <alignment horizontal="center" vertical="center"/>
    </xf>
    <xf numFmtId="41" fontId="22" fillId="7" borderId="17" xfId="2" applyFont="1" applyFill="1" applyBorder="1" applyAlignment="1">
      <alignment horizontal="centerContinuous" vertical="center"/>
    </xf>
    <xf numFmtId="41" fontId="23" fillId="7" borderId="17" xfId="2" applyFont="1" applyFill="1" applyBorder="1" applyAlignment="1">
      <alignment horizontal="centerContinuous" vertical="center"/>
    </xf>
    <xf numFmtId="41" fontId="9" fillId="0" borderId="1" xfId="2" applyFont="1" applyBorder="1" applyAlignment="1">
      <alignment horizontal="center" vertical="center" wrapText="1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0" fontId="2" fillId="0" borderId="0" xfId="0" applyFont="1" applyAlignment="1">
      <alignment horizontal="left"/>
    </xf>
    <xf numFmtId="41" fontId="26" fillId="0" borderId="0" xfId="2" applyFont="1"/>
  </cellXfs>
  <cellStyles count="4">
    <cellStyle name="Lien hypertexte" xfId="1" builtinId="8"/>
    <cellStyle name="Milliers [0]" xfId="2" builtinId="6"/>
    <cellStyle name="Normal" xfId="0" builtinId="0"/>
    <cellStyle name="Pourcentage" xfId="3" builtinId="5"/>
  </cellStyles>
  <dxfs count="128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general" vertical="center" textRotation="0" wrapText="0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33" formatCode="_-* #,##0_-;\-* #,##0_-;_-* &quot;-&quot;_-;_-@_-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0.0%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numFmt numFmtId="33" formatCode="_-* #,##0_-;\-* #,##0_-;_-* &quot;-&quot;_-;_-@_-"/>
    </dxf>
    <dxf>
      <font>
        <b val="0"/>
      </font>
    </dxf>
    <dxf>
      <font>
        <b val="0"/>
      </font>
    </dxf>
    <dxf>
      <font>
        <sz val="12"/>
      </font>
    </dxf>
    <dxf>
      <alignment wrapText="1"/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numFmt numFmtId="3" formatCode="#,##0"/>
      <border diagonalUp="0" diagonalDown="0">
        <left style="thin">
          <color rgb="FF999999"/>
        </left>
        <right/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numFmt numFmtId="3" formatCode="#,##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numFmt numFmtId="3" formatCode="#,##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numFmt numFmtId="3" formatCode="#,##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numFmt numFmtId="3" formatCode="#,##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numFmt numFmtId="3" formatCode="#,##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numFmt numFmtId="3" formatCode="#,##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  <border diagonalUp="0" diagonalDown="0">
        <left/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top style="thin">
          <color rgb="FF999999"/>
        </top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entury Gothic"/>
        <family val="2"/>
        <scheme val="none"/>
      </font>
    </dxf>
    <dxf>
      <border outline="0"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entury Gothic"/>
        <family val="2"/>
        <scheme val="none"/>
      </font>
      <numFmt numFmtId="3" formatCode="#,##0"/>
      <border diagonalUp="0" diagonalDown="0" outline="0">
        <left style="thin">
          <color rgb="FF999999"/>
        </left>
        <right/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entury Gothic"/>
        <family val="2"/>
        <scheme val="none"/>
      </font>
      <numFmt numFmtId="3" formatCode="#,##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entury Gothic"/>
        <family val="2"/>
        <scheme val="none"/>
      </font>
      <numFmt numFmtId="3" formatCode="#,##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entury Gothic"/>
        <family val="2"/>
        <scheme val="none"/>
      </font>
      <numFmt numFmtId="3" formatCode="#,##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entury Gothic"/>
        <family val="2"/>
        <scheme val="none"/>
      </font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entury Gothic"/>
        <family val="2"/>
        <scheme val="none"/>
      </font>
      <border diagonalUp="0" diagonalDown="0" outline="0">
        <left/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outline="0">
        <top style="thin">
          <color rgb="FF999999"/>
        </top>
      </border>
    </dxf>
    <dxf>
      <border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entury Gothic"/>
        <family val="2"/>
        <scheme val="none"/>
      </font>
    </dxf>
    <dxf>
      <border outline="0"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entury Gothic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</dxfs>
  <tableStyles count="0" defaultTableStyle="TableStyleMedium2" defaultPivotStyle="PivotStyleLight16"/>
  <colors>
    <mruColors>
      <color rgb="FFFF5050"/>
      <color rgb="FFFFCC66"/>
      <color rgb="FFFF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 sz="1400" b="0" i="0" u="none" strike="noStrike" baseline="0"/>
              <a:t>Évolution de la structure de bilan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Periode N-1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(Dashboard!$B$13:$B$14,Dashboard!$B$21)</c:f>
              <c:strCache>
                <c:ptCount val="3"/>
                <c:pt idx="0">
                  <c:v>    Trésorerie ( Banque + Caisse) </c:v>
                </c:pt>
                <c:pt idx="1">
                  <c:v>    Besoin en Fonds de Roulement  </c:v>
                </c:pt>
                <c:pt idx="2">
                  <c:v>    Dettes financières restantes </c:v>
                </c:pt>
              </c:strCache>
            </c:strRef>
          </c:cat>
          <c:val>
            <c:numRef>
              <c:f>(Dashboard!$C$13:$C$14,Dashboard!$C$21)</c:f>
              <c:numCache>
                <c:formatCode>_(* #,##0_);_(* \(#,##0\);_(* "-"_);_(@_)</c:formatCode>
                <c:ptCount val="3"/>
                <c:pt idx="0">
                  <c:v>54050</c:v>
                </c:pt>
                <c:pt idx="1">
                  <c:v>16600</c:v>
                </c:pt>
                <c:pt idx="2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3-4706-B4E9-95420EB927E4}"/>
            </c:ext>
          </c:extLst>
        </c:ser>
        <c:ser>
          <c:idx val="1"/>
          <c:order val="1"/>
          <c:tx>
            <c:v>Periode 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(Dashboard!$B$13:$B$14,Dashboard!$B$21)</c:f>
              <c:strCache>
                <c:ptCount val="3"/>
                <c:pt idx="0">
                  <c:v>    Trésorerie ( Banque + Caisse) </c:v>
                </c:pt>
                <c:pt idx="1">
                  <c:v>    Besoin en Fonds de Roulement  </c:v>
                </c:pt>
                <c:pt idx="2">
                  <c:v>    Dettes financières restantes </c:v>
                </c:pt>
              </c:strCache>
            </c:strRef>
          </c:cat>
          <c:val>
            <c:numRef>
              <c:f>(Dashboard!$D$13:$D$14,Dashboard!$D$21)</c:f>
              <c:numCache>
                <c:formatCode>_(* #,##0_);_(* \(#,##0\);_(* "-"_);_(@_)</c:formatCode>
                <c:ptCount val="3"/>
                <c:pt idx="0">
                  <c:v>57500</c:v>
                </c:pt>
                <c:pt idx="1">
                  <c:v>20300</c:v>
                </c:pt>
                <c:pt idx="2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3-4706-B4E9-95420EB9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289936"/>
        <c:axId val="922276976"/>
      </c:barChart>
      <c:catAx>
        <c:axId val="92228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922276976"/>
        <c:crosses val="autoZero"/>
        <c:auto val="1"/>
        <c:lblAlgn val="ctr"/>
        <c:lblOffset val="100"/>
        <c:noMultiLvlLbl val="0"/>
      </c:catAx>
      <c:valAx>
        <c:axId val="9222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92228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 sz="1200"/>
              <a:t>Ratios de rotation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BJ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Bilan!$L$6:$L$8</c:f>
              <c:strCache>
                <c:ptCount val="3"/>
                <c:pt idx="0">
                  <c:v> DSO </c:v>
                </c:pt>
                <c:pt idx="1">
                  <c:v> DIO </c:v>
                </c:pt>
                <c:pt idx="2">
                  <c:v> DPO </c:v>
                </c:pt>
              </c:strCache>
            </c:strRef>
          </c:cat>
          <c:val>
            <c:numRef>
              <c:f>Bilan!$M$6:$M$8</c:f>
              <c:numCache>
                <c:formatCode>_(* #,##0_);_(* \(#,##0\);_(* "-"_);_(@_)</c:formatCode>
                <c:ptCount val="3"/>
                <c:pt idx="0">
                  <c:v>46.490161001788906</c:v>
                </c:pt>
                <c:pt idx="1">
                  <c:v>48.449404761904759</c:v>
                </c:pt>
                <c:pt idx="2">
                  <c:v>58.226190476190474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773-B608-B7CA5E7E9E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9250623"/>
        <c:axId val="869255903"/>
      </c:barChart>
      <c:catAx>
        <c:axId val="8692506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869255903"/>
        <c:crosses val="autoZero"/>
        <c:auto val="1"/>
        <c:lblAlgn val="ctr"/>
        <c:lblOffset val="100"/>
        <c:noMultiLvlLbl val="0"/>
      </c:catAx>
      <c:valAx>
        <c:axId val="8692559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fr-FR"/>
                  <a:t>Jour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fr-BJ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crossAx val="86925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EBE Retraité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595959"/>
              </a:solidFill>
              <a:latin typeface="Century Gothic" panose="020B0502020202020204" pitchFamily="34" charset="0"/>
              <a:ea typeface="Century Gothic" panose="020B0502020202020204" pitchFamily="34" charset="0"/>
              <a:cs typeface="Century Gothic" panose="020B0502020202020204" pitchFamily="34" charset="0"/>
            </a:defRPr>
          </a:pPr>
          <a:r>
            <a:rPr lang="fr-FR">
              <a:latin typeface="Century Gothic" panose="020B0502020202020204" pitchFamily="34" charset="0"/>
            </a:rPr>
            <a:t>EBE Retraité</a:t>
          </a:r>
        </a:p>
      </cx:txPr>
    </cx:title>
    <cx:plotArea>
      <cx:plotAreaRegion>
        <cx:series layoutId="waterfall" uniqueId="{4730EED6-C1AB-404B-9A86-1F3F800CDFD3}">
          <cx:dataPt idx="2">
            <cx:spPr>
              <a:solidFill>
                <a:srgbClr val="4F81BD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Century Gothic" panose="020B0502020202020204" pitchFamily="34" charset="0"/>
                    <a:ea typeface="Century Gothic" panose="020B0502020202020204" pitchFamily="34" charset="0"/>
                    <a:cs typeface="Century Gothic" panose="020B0502020202020204" pitchFamily="34" charset="0"/>
                  </a:defRPr>
                </a:pPr>
                <a:endParaRPr lang="fr-BJ" sz="1000">
                  <a:latin typeface="Century Gothic" panose="020B0502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0"/>
              <cx:idx val="2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endParaRPr lang="fr-BJ" sz="800">
              <a:solidFill>
                <a:srgbClr val="595959"/>
              </a:solidFill>
              <a:latin typeface="Century Gothic" panose="020B0502020202020204" pitchFamily="34" charset="0"/>
            </a:endParaRPr>
          </a:p>
        </cx:txPr>
      </cx:axis>
      <cx:axis id="1" hidden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endParaRPr lang="fr-BJ">
              <a:latin typeface="Century Gothic" panose="020B0502020202020204" pitchFamily="34" charset="0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Century Gothic" panose="020B0502020202020204" pitchFamily="34" charset="0"/>
              <a:ea typeface="Century Gothic" panose="020B0502020202020204" pitchFamily="34" charset="0"/>
              <a:cs typeface="Century Gothic" panose="020B0502020202020204" pitchFamily="34" charset="0"/>
            </a:defRPr>
          </a:pPr>
          <a:endParaRPr lang="fr-BJ" sz="900">
            <a:latin typeface="Century Gothic" panose="020B0502020202020204" pitchFamily="34" charset="0"/>
          </a:endParaRPr>
        </a:p>
      </cx:txPr>
    </cx:legend>
  </cx:chart>
  <cx:fmtOvrs>
    <cx:fmtOvr idx="2">
      <cx:spPr>
        <a:solidFill>
          <a:schemeClr val="accent1"/>
        </a:solidFill>
      </cx:spPr>
    </cx:fmtOvr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microsoft.com/office/2014/relationships/chartEx" Target="../charts/chartEx1.xml"/><Relationship Id="rId3" Type="http://schemas.openxmlformats.org/officeDocument/2006/relationships/image" Target="../media/image3.png"/><Relationship Id="rId21" Type="http://schemas.openxmlformats.org/officeDocument/2006/relationships/image" Target="../media/image19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chart" Target="../charts/chart1.xml"/><Relationship Id="rId25" Type="http://schemas.openxmlformats.org/officeDocument/2006/relationships/chart" Target="../charts/chart2.xml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18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2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10" Type="http://schemas.openxmlformats.org/officeDocument/2006/relationships/image" Target="../media/image10.svg"/><Relationship Id="rId19" Type="http://schemas.openxmlformats.org/officeDocument/2006/relationships/image" Target="../media/image17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15</xdr:col>
      <xdr:colOff>0</xdr:colOff>
      <xdr:row>3</xdr:row>
      <xdr:rowOff>19050</xdr:rowOff>
    </xdr:to>
    <xdr:grpSp>
      <xdr:nvGrpSpPr>
        <xdr:cNvPr id="37" name="Groupe 36">
          <a:extLst>
            <a:ext uri="{FF2B5EF4-FFF2-40B4-BE49-F238E27FC236}">
              <a16:creationId xmlns:a16="http://schemas.microsoft.com/office/drawing/2014/main" id="{A1BB64E3-359A-6EE5-D6B8-34FF46E94D12}"/>
            </a:ext>
          </a:extLst>
        </xdr:cNvPr>
        <xdr:cNvGrpSpPr/>
      </xdr:nvGrpSpPr>
      <xdr:grpSpPr>
        <a:xfrm>
          <a:off x="833438" y="0"/>
          <a:ext cx="18145125" cy="661988"/>
          <a:chOff x="154781" y="0"/>
          <a:chExt cx="20002500" cy="661988"/>
        </a:xfrm>
      </xdr:grpSpPr>
      <xdr:sp macro="" textlink="">
        <xdr:nvSpPr>
          <xdr:cNvPr id="2" name="ZoneTexte 1">
            <a:extLst>
              <a:ext uri="{FF2B5EF4-FFF2-40B4-BE49-F238E27FC236}">
                <a16:creationId xmlns:a16="http://schemas.microsoft.com/office/drawing/2014/main" id="{A663D7F8-F30F-BFFE-6908-49467B85C11A}"/>
              </a:ext>
            </a:extLst>
          </xdr:cNvPr>
          <xdr:cNvSpPr txBox="1"/>
        </xdr:nvSpPr>
        <xdr:spPr>
          <a:xfrm>
            <a:off x="154781" y="0"/>
            <a:ext cx="20002500" cy="661987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2400" b="1">
                <a:solidFill>
                  <a:schemeClr val="bg1"/>
                </a:solidFill>
                <a:latin typeface="Century Gothic" panose="020B0502020202020204" pitchFamily="34" charset="0"/>
              </a:rPr>
              <a:t>	TRESORERIE ET INDICATEURS</a:t>
            </a:r>
            <a:r>
              <a:rPr lang="fr-FR" sz="2400" b="1" baseline="0">
                <a:solidFill>
                  <a:schemeClr val="bg1"/>
                </a:solidFill>
                <a:latin typeface="Century Gothic" panose="020B0502020202020204" pitchFamily="34" charset="0"/>
              </a:rPr>
              <a:t> FINANCIERS - SYNTHESE N-1 VS N</a:t>
            </a:r>
          </a:p>
          <a:p>
            <a:r>
              <a:rPr lang="fr-FR" sz="1200" b="1" i="0">
                <a:solidFill>
                  <a:schemeClr val="bg1"/>
                </a:solidFill>
                <a:latin typeface="Century Gothic" panose="020B0502020202020204" pitchFamily="34" charset="0"/>
              </a:rPr>
              <a:t>	KOSSOU DISTRIBUTION SARL  | Analyse de la performance financière et</a:t>
            </a:r>
            <a:r>
              <a:rPr lang="fr-FR" sz="1200" b="1" i="0" baseline="0">
                <a:solidFill>
                  <a:schemeClr val="bg1"/>
                </a:solidFill>
                <a:latin typeface="Century Gothic" panose="020B0502020202020204" pitchFamily="34" charset="0"/>
              </a:rPr>
              <a:t> de la liquidité</a:t>
            </a:r>
            <a:endParaRPr lang="fr-BJ" sz="1200" b="1" i="0">
              <a:solidFill>
                <a:schemeClr val="bg1"/>
              </a:solidFill>
              <a:latin typeface="Century Gothic" panose="020B0502020202020204" pitchFamily="34" charset="0"/>
            </a:endParaRPr>
          </a:p>
        </xdr:txBody>
      </xdr:sp>
      <xdr:pic>
        <xdr:nvPicPr>
          <xdr:cNvPr id="4" name="Graphique 3" descr="Graphique à barres">
            <a:extLst>
              <a:ext uri="{FF2B5EF4-FFF2-40B4-BE49-F238E27FC236}">
                <a16:creationId xmlns:a16="http://schemas.microsoft.com/office/drawing/2014/main" id="{D772A1B3-DF85-8ACD-555D-1A4846324C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76225" y="57150"/>
            <a:ext cx="619125" cy="60483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3</xdr:row>
      <xdr:rowOff>103327</xdr:rowOff>
    </xdr:from>
    <xdr:to>
      <xdr:col>14</xdr:col>
      <xdr:colOff>748175</xdr:colOff>
      <xdr:row>9</xdr:row>
      <xdr:rowOff>107154</xdr:rowOff>
    </xdr:to>
    <xdr:grpSp>
      <xdr:nvGrpSpPr>
        <xdr:cNvPr id="38" name="Groupe 37">
          <a:extLst>
            <a:ext uri="{FF2B5EF4-FFF2-40B4-BE49-F238E27FC236}">
              <a16:creationId xmlns:a16="http://schemas.microsoft.com/office/drawing/2014/main" id="{A959C8BB-B3F5-053D-95C4-C766E81EC385}"/>
            </a:ext>
          </a:extLst>
        </xdr:cNvPr>
        <xdr:cNvGrpSpPr/>
      </xdr:nvGrpSpPr>
      <xdr:grpSpPr>
        <a:xfrm>
          <a:off x="833438" y="746265"/>
          <a:ext cx="18059862" cy="1289702"/>
          <a:chOff x="0" y="695724"/>
          <a:chExt cx="19917238" cy="1289702"/>
        </a:xfrm>
      </xdr:grpSpPr>
      <xdr:grpSp>
        <xdr:nvGrpSpPr>
          <xdr:cNvPr id="50" name="Groupe 49">
            <a:extLst>
              <a:ext uri="{FF2B5EF4-FFF2-40B4-BE49-F238E27FC236}">
                <a16:creationId xmlns:a16="http://schemas.microsoft.com/office/drawing/2014/main" id="{4A3511AF-1C39-AC30-BE9C-7FA3851F0BA7}"/>
              </a:ext>
            </a:extLst>
          </xdr:cNvPr>
          <xdr:cNvGrpSpPr/>
        </xdr:nvGrpSpPr>
        <xdr:grpSpPr>
          <a:xfrm>
            <a:off x="2901520" y="733428"/>
            <a:ext cx="2805265" cy="1251998"/>
            <a:chOff x="95250" y="742953"/>
            <a:chExt cx="2802585" cy="1280751"/>
          </a:xfrm>
        </xdr:grpSpPr>
        <xdr:sp macro="" textlink="">
          <xdr:nvSpPr>
            <xdr:cNvPr id="6" name="Rectangle : coins arrondis 5">
              <a:extLst>
                <a:ext uri="{FF2B5EF4-FFF2-40B4-BE49-F238E27FC236}">
                  <a16:creationId xmlns:a16="http://schemas.microsoft.com/office/drawing/2014/main" id="{4A7912E9-B9E0-5848-2718-11EE19F646F9}"/>
                </a:ext>
              </a:extLst>
            </xdr:cNvPr>
            <xdr:cNvSpPr/>
          </xdr:nvSpPr>
          <xdr:spPr>
            <a:xfrm>
              <a:off x="95250" y="781050"/>
              <a:ext cx="2686050" cy="1228725"/>
            </a:xfrm>
            <a:prstGeom prst="roundRect">
              <a:avLst>
                <a:gd name="adj" fmla="val 6851"/>
              </a:avLst>
            </a:prstGeom>
            <a:solidFill>
              <a:schemeClr val="bg1"/>
            </a:solidFill>
            <a:ln w="3175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>
                <a:solidFill>
                  <a:sysClr val="windowText" lastClr="000000"/>
                </a:solidFill>
                <a:latin typeface="Century Gothic" panose="020B0502020202020204" pitchFamily="34" charset="0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Century Gothic" panose="020B0502020202020204" pitchFamily="34" charset="0"/>
              </a:endParaRPr>
            </a:p>
            <a:p>
              <a:pPr algn="l"/>
              <a:r>
                <a:rPr lang="en-US" sz="120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    </a:t>
              </a:r>
              <a:r>
                <a:rPr lang="en-US" sz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</a:t>
              </a:r>
              <a:r>
                <a:rPr lang="en-US" sz="120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    </a:t>
              </a:r>
              <a:r>
                <a:rPr lang="en-US" sz="280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      |</a:t>
              </a:r>
            </a:p>
          </xdr:txBody>
        </xdr:sp>
        <xdr:pic>
          <xdr:nvPicPr>
            <xdr:cNvPr id="24" name="Graphique 23" descr="Tirelire">
              <a:extLst>
                <a:ext uri="{FF2B5EF4-FFF2-40B4-BE49-F238E27FC236}">
                  <a16:creationId xmlns:a16="http://schemas.microsoft.com/office/drawing/2014/main" id="{5FB59B39-BC3E-A2C1-5D7D-593FE9528E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66703" y="742953"/>
              <a:ext cx="561972" cy="561972"/>
            </a:xfrm>
            <a:prstGeom prst="rect">
              <a:avLst/>
            </a:prstGeom>
          </xdr:spPr>
        </xdr:pic>
        <xdr:sp macro="" textlink="">
          <xdr:nvSpPr>
            <xdr:cNvPr id="28" name="ZoneTexte 27">
              <a:extLst>
                <a:ext uri="{FF2B5EF4-FFF2-40B4-BE49-F238E27FC236}">
                  <a16:creationId xmlns:a16="http://schemas.microsoft.com/office/drawing/2014/main" id="{7E49593D-B875-A139-9250-06719F3223D5}"/>
                </a:ext>
              </a:extLst>
            </xdr:cNvPr>
            <xdr:cNvSpPr txBox="1"/>
          </xdr:nvSpPr>
          <xdr:spPr>
            <a:xfrm>
              <a:off x="762000" y="884728"/>
              <a:ext cx="2019299" cy="3714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 b="1">
                  <a:solidFill>
                    <a:schemeClr val="accent1">
                      <a:lumMod val="75000"/>
                    </a:schemeClr>
                  </a:solidFill>
                  <a:latin typeface="Century Gothic" panose="020B0502020202020204" pitchFamily="34" charset="0"/>
                </a:rPr>
                <a:t>Trésorerie Nette</a:t>
              </a:r>
              <a:endParaRPr lang="fr-BJ" sz="1400" b="1">
                <a:solidFill>
                  <a:schemeClr val="accent1">
                    <a:lumMod val="75000"/>
                  </a:schemeClr>
                </a:solidFill>
                <a:latin typeface="Century Gothic" panose="020B0502020202020204" pitchFamily="34" charset="0"/>
              </a:endParaRPr>
            </a:p>
          </xdr:txBody>
        </xdr:sp>
        <xdr:sp macro="" textlink="Bilan!C11">
          <xdr:nvSpPr>
            <xdr:cNvPr id="29" name="ZoneTexte 28">
              <a:extLst>
                <a:ext uri="{FF2B5EF4-FFF2-40B4-BE49-F238E27FC236}">
                  <a16:creationId xmlns:a16="http://schemas.microsoft.com/office/drawing/2014/main" id="{FAEC31E3-A700-4734-624A-4EA9D4C40781}"/>
                </a:ext>
              </a:extLst>
            </xdr:cNvPr>
            <xdr:cNvSpPr txBox="1"/>
          </xdr:nvSpPr>
          <xdr:spPr>
            <a:xfrm>
              <a:off x="105822" y="1406195"/>
              <a:ext cx="971549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FC05BD93-FE79-4E84-9274-AE240CE76289}" type="TxLink">
                <a:rPr lang="en-US" sz="1400" b="0" i="0" u="none" strike="noStrike">
                  <a:solidFill>
                    <a:srgbClr val="000000"/>
                  </a:solidFill>
                  <a:latin typeface="Century Gothic" panose="020B0502020202020204" pitchFamily="34" charset="0"/>
                </a:rPr>
                <a:pPr/>
                <a:t> 54 050 </a:t>
              </a:fld>
              <a:endParaRPr lang="fr-BJ" sz="1200" b="0">
                <a:latin typeface="Century Gothic" panose="020B0502020202020204" pitchFamily="34" charset="0"/>
              </a:endParaRPr>
            </a:p>
          </xdr:txBody>
        </xdr:sp>
        <xdr:sp macro="" textlink="Bilan!D11">
          <xdr:nvSpPr>
            <xdr:cNvPr id="30" name="ZoneTexte 29">
              <a:extLst>
                <a:ext uri="{FF2B5EF4-FFF2-40B4-BE49-F238E27FC236}">
                  <a16:creationId xmlns:a16="http://schemas.microsoft.com/office/drawing/2014/main" id="{C4B73692-1CE3-320F-298A-F2BD444493F1}"/>
                </a:ext>
              </a:extLst>
            </xdr:cNvPr>
            <xdr:cNvSpPr txBox="1"/>
          </xdr:nvSpPr>
          <xdr:spPr>
            <a:xfrm>
              <a:off x="1033803" y="1402859"/>
              <a:ext cx="876300" cy="400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4A9FF55F-CDEA-489F-873A-C7463D03DBFD}" type="TxLink">
                <a:rPr lang="en-US" sz="1400" b="0" i="0" u="none" strike="noStrike">
                  <a:solidFill>
                    <a:srgbClr val="000000"/>
                  </a:solidFill>
                  <a:latin typeface="Century Gothic" panose="020B0502020202020204" pitchFamily="34" charset="0"/>
                </a:rPr>
                <a:pPr/>
                <a:t> 57 500 </a:t>
              </a:fld>
              <a:endParaRPr lang="fr-BJ" sz="1200" b="0">
                <a:latin typeface="Century Gothic" panose="020B0502020202020204" pitchFamily="34" charset="0"/>
              </a:endParaRPr>
            </a:p>
          </xdr:txBody>
        </xdr:sp>
        <xdr:sp macro="" textlink="Bilan!L11">
          <xdr:nvSpPr>
            <xdr:cNvPr id="32" name="ZoneTexte 31">
              <a:extLst>
                <a:ext uri="{FF2B5EF4-FFF2-40B4-BE49-F238E27FC236}">
                  <a16:creationId xmlns:a16="http://schemas.microsoft.com/office/drawing/2014/main" id="{ED0D47F1-944B-E8ED-5368-D7751EB917B1}"/>
                </a:ext>
              </a:extLst>
            </xdr:cNvPr>
            <xdr:cNvSpPr txBox="1"/>
          </xdr:nvSpPr>
          <xdr:spPr>
            <a:xfrm>
              <a:off x="1802459" y="1183097"/>
              <a:ext cx="1095376" cy="609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ctr" anchorCtr="1">
              <a:noAutofit/>
            </a:bodyPr>
            <a:lstStyle/>
            <a:p>
              <a:fld id="{0AC2B4E6-D23E-4335-BD3D-A637D4D28F62}" type="TxLink">
                <a:rPr lang="en-US" sz="1200" b="0" i="0" u="none" strike="noStrike">
                  <a:solidFill>
                    <a:srgbClr val="000000"/>
                  </a:solidFill>
                  <a:latin typeface="Century Gothic" panose="020B0502020202020204" pitchFamily="34" charset="0"/>
                </a:rPr>
                <a:pPr/>
                <a:t>▲ +3 450 (+6,4%)</a:t>
              </a:fld>
              <a:endParaRPr lang="en-US" b="1">
                <a:latin typeface="Century Gothic" panose="020B0502020202020204" pitchFamily="34" charset="0"/>
              </a:endParaRPr>
            </a:p>
          </xdr:txBody>
        </xdr:sp>
        <xdr:sp macro="" textlink="">
          <xdr:nvSpPr>
            <xdr:cNvPr id="33" name="ZoneTexte 32">
              <a:extLst>
                <a:ext uri="{FF2B5EF4-FFF2-40B4-BE49-F238E27FC236}">
                  <a16:creationId xmlns:a16="http://schemas.microsoft.com/office/drawing/2014/main" id="{DCF947C0-EF5B-BB95-5BD3-38C98948B2A3}"/>
                </a:ext>
              </a:extLst>
            </xdr:cNvPr>
            <xdr:cNvSpPr txBox="1"/>
          </xdr:nvSpPr>
          <xdr:spPr>
            <a:xfrm>
              <a:off x="158137" y="1756204"/>
              <a:ext cx="1551028" cy="267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50" b="0" i="1">
                  <a:latin typeface="Century Gothic" panose="020B0502020202020204" pitchFamily="34" charset="0"/>
                </a:rPr>
                <a:t>en milliers</a:t>
              </a:r>
              <a:r>
                <a:rPr lang="fr-FR" sz="1050" b="0" i="1" baseline="0">
                  <a:latin typeface="Century Gothic" panose="020B0502020202020204" pitchFamily="34" charset="0"/>
                </a:rPr>
                <a:t> de FCFA</a:t>
              </a:r>
              <a:endParaRPr lang="fr-BJ" sz="1050" b="0" i="1">
                <a:latin typeface="Century Gothic" panose="020B0502020202020204" pitchFamily="34" charset="0"/>
              </a:endParaRPr>
            </a:p>
          </xdr:txBody>
        </xdr:sp>
      </xdr:grpSp>
      <xdr:grpSp>
        <xdr:nvGrpSpPr>
          <xdr:cNvPr id="51" name="Groupe 50">
            <a:extLst>
              <a:ext uri="{FF2B5EF4-FFF2-40B4-BE49-F238E27FC236}">
                <a16:creationId xmlns:a16="http://schemas.microsoft.com/office/drawing/2014/main" id="{1CC6D8E9-3CB3-35FE-F73B-E2C961455D4F}"/>
              </a:ext>
            </a:extLst>
          </xdr:cNvPr>
          <xdr:cNvGrpSpPr/>
        </xdr:nvGrpSpPr>
        <xdr:grpSpPr>
          <a:xfrm>
            <a:off x="5755743" y="752476"/>
            <a:ext cx="2779064" cy="1209139"/>
            <a:chOff x="66675" y="781050"/>
            <a:chExt cx="2789984" cy="1237928"/>
          </a:xfrm>
        </xdr:grpSpPr>
        <xdr:sp macro="" textlink="">
          <xdr:nvSpPr>
            <xdr:cNvPr id="52" name="Rectangle : coins arrondis 51">
              <a:extLst>
                <a:ext uri="{FF2B5EF4-FFF2-40B4-BE49-F238E27FC236}">
                  <a16:creationId xmlns:a16="http://schemas.microsoft.com/office/drawing/2014/main" id="{3E99AF06-FDBC-8205-434E-82FDFA9AB146}"/>
                </a:ext>
              </a:extLst>
            </xdr:cNvPr>
            <xdr:cNvSpPr/>
          </xdr:nvSpPr>
          <xdr:spPr>
            <a:xfrm>
              <a:off x="95250" y="781050"/>
              <a:ext cx="2686050" cy="1228725"/>
            </a:xfrm>
            <a:prstGeom prst="roundRect">
              <a:avLst>
                <a:gd name="adj" fmla="val 6851"/>
              </a:avLst>
            </a:prstGeom>
            <a:solidFill>
              <a:schemeClr val="bg1"/>
            </a:solidFill>
            <a:ln w="3175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2800" b="0">
                <a:solidFill>
                  <a:sysClr val="windowText" lastClr="000000"/>
                </a:solidFill>
                <a:latin typeface="Century Gothic" panose="020B0502020202020204" pitchFamily="34" charset="0"/>
              </a:endParaRPr>
            </a:p>
            <a:p>
              <a:pPr algn="l"/>
              <a:r>
                <a:rPr lang="en-US" sz="2800" b="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    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</a:t>
              </a:r>
              <a:r>
                <a:rPr lang="en-US" sz="2800" b="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   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</a:t>
              </a:r>
            </a:p>
          </xdr:txBody>
        </xdr:sp>
        <xdr:sp macro="" textlink="">
          <xdr:nvSpPr>
            <xdr:cNvPr id="54" name="ZoneTexte 53">
              <a:extLst>
                <a:ext uri="{FF2B5EF4-FFF2-40B4-BE49-F238E27FC236}">
                  <a16:creationId xmlns:a16="http://schemas.microsoft.com/office/drawing/2014/main" id="{56F494FD-9E14-76ED-CBED-23E81BED97D9}"/>
                </a:ext>
              </a:extLst>
            </xdr:cNvPr>
            <xdr:cNvSpPr txBox="1"/>
          </xdr:nvSpPr>
          <xdr:spPr>
            <a:xfrm>
              <a:off x="762000" y="872504"/>
              <a:ext cx="2019300" cy="385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 b="1">
                  <a:solidFill>
                    <a:schemeClr val="accent2">
                      <a:lumMod val="75000"/>
                    </a:schemeClr>
                  </a:solidFill>
                  <a:latin typeface="Century Gothic" panose="020B0502020202020204" pitchFamily="34" charset="0"/>
                </a:rPr>
                <a:t>BFR / Cash Gap</a:t>
              </a:r>
            </a:p>
          </xdr:txBody>
        </xdr:sp>
        <xdr:sp macro="" textlink="BFR!C13">
          <xdr:nvSpPr>
            <xdr:cNvPr id="55" name="ZoneTexte 54">
              <a:extLst>
                <a:ext uri="{FF2B5EF4-FFF2-40B4-BE49-F238E27FC236}">
                  <a16:creationId xmlns:a16="http://schemas.microsoft.com/office/drawing/2014/main" id="{554E7139-5887-9439-A079-1E8F71FC6F55}"/>
                </a:ext>
              </a:extLst>
            </xdr:cNvPr>
            <xdr:cNvSpPr txBox="1"/>
          </xdr:nvSpPr>
          <xdr:spPr>
            <a:xfrm>
              <a:off x="66675" y="1279039"/>
              <a:ext cx="866775" cy="3095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7DE3F63A-7107-47EE-9916-CC4602047DF9}" type="TxLink">
                <a:rPr lang="en-US" sz="1400" b="0" i="0" u="none" strike="noStrike">
                  <a:solidFill>
                    <a:srgbClr val="000000"/>
                  </a:solidFill>
                  <a:latin typeface="Century Gothic" panose="020B0502020202020204" pitchFamily="34" charset="0"/>
                </a:rPr>
                <a:pPr/>
                <a:t> 16 600 </a:t>
              </a:fld>
              <a:endParaRPr lang="fr-BJ" sz="1400" b="0">
                <a:latin typeface="Century Gothic" panose="020B0502020202020204" pitchFamily="34" charset="0"/>
              </a:endParaRPr>
            </a:p>
          </xdr:txBody>
        </xdr:sp>
        <xdr:sp macro="" textlink="BFR!D13">
          <xdr:nvSpPr>
            <xdr:cNvPr id="56" name="ZoneTexte 55">
              <a:extLst>
                <a:ext uri="{FF2B5EF4-FFF2-40B4-BE49-F238E27FC236}">
                  <a16:creationId xmlns:a16="http://schemas.microsoft.com/office/drawing/2014/main" id="{204B112F-AA90-FD05-F269-09CB3214EEBD}"/>
                </a:ext>
              </a:extLst>
            </xdr:cNvPr>
            <xdr:cNvSpPr txBox="1"/>
          </xdr:nvSpPr>
          <xdr:spPr>
            <a:xfrm>
              <a:off x="933449" y="1288565"/>
              <a:ext cx="942977" cy="2905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0DFA28D8-6DDB-418F-AE0B-D2D39F3A2E60}" type="TxLink">
                <a:rPr lang="en-US" sz="1400" b="0" i="0" u="none" strike="noStrike">
                  <a:solidFill>
                    <a:srgbClr val="000000"/>
                  </a:solidFill>
                  <a:latin typeface="Century Gothic" panose="020B0502020202020204" pitchFamily="34" charset="0"/>
                </a:rPr>
                <a:pPr/>
                <a:t> 20 300 </a:t>
              </a:fld>
              <a:endParaRPr lang="fr-BJ" sz="1400" b="0">
                <a:latin typeface="Century Gothic" panose="020B0502020202020204" pitchFamily="34" charset="0"/>
              </a:endParaRPr>
            </a:p>
          </xdr:txBody>
        </xdr:sp>
        <xdr:sp macro="" textlink="BFR!G14">
          <xdr:nvSpPr>
            <xdr:cNvPr id="57" name="ZoneTexte 56">
              <a:extLst>
                <a:ext uri="{FF2B5EF4-FFF2-40B4-BE49-F238E27FC236}">
                  <a16:creationId xmlns:a16="http://schemas.microsoft.com/office/drawing/2014/main" id="{FA008BFE-AE25-8548-BF07-BA272B3BCCD5}"/>
                </a:ext>
              </a:extLst>
            </xdr:cNvPr>
            <xdr:cNvSpPr txBox="1"/>
          </xdr:nvSpPr>
          <xdr:spPr>
            <a:xfrm>
              <a:off x="1761283" y="1213025"/>
              <a:ext cx="1095376" cy="609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ctr" anchorCtr="1">
              <a:noAutofit/>
            </a:bodyPr>
            <a:lstStyle/>
            <a:p>
              <a:fld id="{16EDAC01-E9DA-4E45-9787-7B9442682253}" type="TxLink">
                <a:rPr lang="en-US" sz="12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▲ +3 700 (+22,3%)</a:t>
              </a:fld>
              <a:endParaRPr lang="en-US" b="0">
                <a:latin typeface="Century Gothic" panose="020B0502020202020204" pitchFamily="34" charset="0"/>
              </a:endParaRPr>
            </a:p>
          </xdr:txBody>
        </xdr:sp>
        <xdr:sp macro="" textlink="">
          <xdr:nvSpPr>
            <xdr:cNvPr id="58" name="ZoneTexte 57">
              <a:extLst>
                <a:ext uri="{FF2B5EF4-FFF2-40B4-BE49-F238E27FC236}">
                  <a16:creationId xmlns:a16="http://schemas.microsoft.com/office/drawing/2014/main" id="{BAFF9B02-3590-E5AE-61E6-BD69BD84ECEC}"/>
                </a:ext>
              </a:extLst>
            </xdr:cNvPr>
            <xdr:cNvSpPr txBox="1"/>
          </xdr:nvSpPr>
          <xdr:spPr>
            <a:xfrm>
              <a:off x="134913" y="1745765"/>
              <a:ext cx="2379187" cy="27321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50" b="0" i="1">
                  <a:latin typeface="Century Gothic" panose="020B0502020202020204" pitchFamily="34" charset="0"/>
                </a:rPr>
                <a:t>en milliers</a:t>
              </a:r>
              <a:r>
                <a:rPr lang="fr-FR" sz="1050" b="0" i="1" baseline="0">
                  <a:latin typeface="Century Gothic" panose="020B0502020202020204" pitchFamily="34" charset="0"/>
                </a:rPr>
                <a:t> de FCFA / en jours</a:t>
              </a:r>
              <a:endParaRPr lang="fr-BJ" sz="1050" b="0" i="1">
                <a:latin typeface="Century Gothic" panose="020B0502020202020204" pitchFamily="34" charset="0"/>
              </a:endParaRPr>
            </a:p>
          </xdr:txBody>
        </xdr:sp>
        <xdr:sp macro="" textlink="BFR!C15">
          <xdr:nvSpPr>
            <xdr:cNvPr id="12319" name="ZoneTexte 12318">
              <a:extLst>
                <a:ext uri="{FF2B5EF4-FFF2-40B4-BE49-F238E27FC236}">
                  <a16:creationId xmlns:a16="http://schemas.microsoft.com/office/drawing/2014/main" id="{FE566D7D-0725-0DDD-22BD-5FF04B0BC69F}"/>
                </a:ext>
              </a:extLst>
            </xdr:cNvPr>
            <xdr:cNvSpPr txBox="1"/>
          </xdr:nvSpPr>
          <xdr:spPr>
            <a:xfrm>
              <a:off x="247649" y="1494249"/>
              <a:ext cx="666751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CF87CE56-6089-45EC-9DAE-428670393939}" type="TxLink">
                <a:rPr lang="en-US" sz="1200" b="1" i="0" u="none" strike="noStrike">
                  <a:solidFill>
                    <a:srgbClr val="0070C0"/>
                  </a:solidFill>
                  <a:latin typeface="Century Gothic" panose="020B0502020202020204" pitchFamily="34" charset="0"/>
                </a:rPr>
                <a:pPr/>
                <a:t> 26 </a:t>
              </a:fld>
              <a:r>
                <a:rPr lang="en-US" sz="1200" b="1" i="0" u="none" strike="noStrike">
                  <a:solidFill>
                    <a:srgbClr val="0070C0"/>
                  </a:solidFill>
                  <a:latin typeface="Century Gothic" panose="020B0502020202020204" pitchFamily="34" charset="0"/>
                </a:rPr>
                <a:t>jrs</a:t>
              </a:r>
              <a:endParaRPr lang="fr-BJ" sz="1400" b="1">
                <a:solidFill>
                  <a:srgbClr val="0070C0"/>
                </a:solidFill>
                <a:latin typeface="Century Gothic" panose="020B0502020202020204" pitchFamily="34" charset="0"/>
              </a:endParaRPr>
            </a:p>
          </xdr:txBody>
        </xdr:sp>
        <xdr:sp macro="" textlink="BFR!D15">
          <xdr:nvSpPr>
            <xdr:cNvPr id="12320" name="ZoneTexte 12319">
              <a:extLst>
                <a:ext uri="{FF2B5EF4-FFF2-40B4-BE49-F238E27FC236}">
                  <a16:creationId xmlns:a16="http://schemas.microsoft.com/office/drawing/2014/main" id="{B732E001-C14D-6D02-CF8E-168199B85E3C}"/>
                </a:ext>
              </a:extLst>
            </xdr:cNvPr>
            <xdr:cNvSpPr txBox="1"/>
          </xdr:nvSpPr>
          <xdr:spPr>
            <a:xfrm>
              <a:off x="1114426" y="1487693"/>
              <a:ext cx="762000" cy="3095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C9C004F8-AE30-41E7-9A3F-248D254157C4}" type="TxLink">
                <a:rPr lang="en-US" sz="1200" b="1" i="0" u="none" strike="noStrike">
                  <a:solidFill>
                    <a:srgbClr val="0070C0"/>
                  </a:solidFill>
                  <a:latin typeface="Century Gothic" panose="020B0502020202020204" pitchFamily="34" charset="0"/>
                </a:rPr>
                <a:pPr/>
                <a:t> 27 </a:t>
              </a:fld>
              <a:r>
                <a:rPr lang="en-US" sz="1200" b="1" i="0" u="none" strike="noStrike">
                  <a:solidFill>
                    <a:srgbClr val="0070C0"/>
                  </a:solidFill>
                  <a:latin typeface="Century Gothic" panose="020B0502020202020204" pitchFamily="34" charset="0"/>
                </a:rPr>
                <a:t>jrs</a:t>
              </a:r>
              <a:endParaRPr lang="fr-BJ" sz="1400" b="1">
                <a:solidFill>
                  <a:srgbClr val="0070C0"/>
                </a:solidFill>
                <a:latin typeface="Century Gothic" panose="020B0502020202020204" pitchFamily="34" charset="0"/>
              </a:endParaRPr>
            </a:p>
          </xdr:txBody>
        </xdr:sp>
      </xdr:grpSp>
      <xdr:grpSp>
        <xdr:nvGrpSpPr>
          <xdr:cNvPr id="59" name="Groupe 58">
            <a:extLst>
              <a:ext uri="{FF2B5EF4-FFF2-40B4-BE49-F238E27FC236}">
                <a16:creationId xmlns:a16="http://schemas.microsoft.com/office/drawing/2014/main" id="{0EF51F04-5163-CCE0-5D84-38FEE33C739E}"/>
              </a:ext>
            </a:extLst>
          </xdr:cNvPr>
          <xdr:cNvGrpSpPr/>
        </xdr:nvGrpSpPr>
        <xdr:grpSpPr>
          <a:xfrm>
            <a:off x="8644075" y="752476"/>
            <a:ext cx="2830204" cy="1200150"/>
            <a:chOff x="95250" y="781050"/>
            <a:chExt cx="2828034" cy="1228725"/>
          </a:xfrm>
        </xdr:grpSpPr>
        <xdr:sp macro="" textlink="">
          <xdr:nvSpPr>
            <xdr:cNvPr id="60" name="Rectangle : coins arrondis 59">
              <a:extLst>
                <a:ext uri="{FF2B5EF4-FFF2-40B4-BE49-F238E27FC236}">
                  <a16:creationId xmlns:a16="http://schemas.microsoft.com/office/drawing/2014/main" id="{710D2FC0-CDC8-BD4E-5F67-C4392BC7379E}"/>
                </a:ext>
              </a:extLst>
            </xdr:cNvPr>
            <xdr:cNvSpPr/>
          </xdr:nvSpPr>
          <xdr:spPr>
            <a:xfrm>
              <a:off x="95250" y="781050"/>
              <a:ext cx="2686050" cy="1228725"/>
            </a:xfrm>
            <a:prstGeom prst="roundRect">
              <a:avLst>
                <a:gd name="adj" fmla="val 6851"/>
              </a:avLst>
            </a:prstGeom>
            <a:solidFill>
              <a:schemeClr val="bg1"/>
            </a:solidFill>
            <a:ln w="3175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>
                <a:solidFill>
                  <a:schemeClr val="bg1">
                    <a:lumMod val="85000"/>
                  </a:schemeClr>
                </a:solidFill>
                <a:latin typeface="Century Gothic" panose="020B0502020202020204" pitchFamily="34" charset="0"/>
              </a:endParaRPr>
            </a:p>
            <a:p>
              <a:pPr algn="l"/>
              <a:endParaRPr lang="en-US" sz="1200">
                <a:solidFill>
                  <a:schemeClr val="bg1">
                    <a:lumMod val="85000"/>
                  </a:schemeClr>
                </a:solidFill>
                <a:latin typeface="Century Gothic" panose="020B0502020202020204" pitchFamily="34" charset="0"/>
              </a:endParaRPr>
            </a:p>
            <a:p>
              <a:pPr algn="l"/>
              <a:r>
                <a:rPr lang="en-US" sz="120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   </a:t>
              </a:r>
              <a:r>
                <a:rPr lang="en-US" sz="1200" baseline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</a:t>
              </a:r>
              <a:r>
                <a:rPr lang="en-US" sz="120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     </a:t>
              </a:r>
              <a:r>
                <a:rPr lang="en-US" sz="32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</a:t>
              </a:r>
              <a:r>
                <a:rPr lang="en-US" sz="20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    </a:t>
              </a:r>
              <a:r>
                <a:rPr lang="en-US" sz="32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</a:t>
              </a:r>
              <a:endParaRPr lang="en-US" sz="1200" b="0">
                <a:solidFill>
                  <a:schemeClr val="bg1">
                    <a:lumMod val="85000"/>
                  </a:schemeClr>
                </a:solidFill>
                <a:latin typeface="Century Gothic" panose="020B0502020202020204" pitchFamily="34" charset="0"/>
              </a:endParaRPr>
            </a:p>
          </xdr:txBody>
        </xdr:sp>
        <xdr:sp macro="" textlink="">
          <xdr:nvSpPr>
            <xdr:cNvPr id="62" name="ZoneTexte 61">
              <a:extLst>
                <a:ext uri="{FF2B5EF4-FFF2-40B4-BE49-F238E27FC236}">
                  <a16:creationId xmlns:a16="http://schemas.microsoft.com/office/drawing/2014/main" id="{BE2E454E-D039-A356-08D7-245DBE2573D9}"/>
                </a:ext>
              </a:extLst>
            </xdr:cNvPr>
            <xdr:cNvSpPr txBox="1"/>
          </xdr:nvSpPr>
          <xdr:spPr>
            <a:xfrm>
              <a:off x="771525" y="800100"/>
              <a:ext cx="2009775" cy="6048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 b="1" baseline="0">
                  <a:solidFill>
                    <a:schemeClr val="accent3">
                      <a:lumMod val="75000"/>
                    </a:schemeClr>
                  </a:solidFill>
                  <a:latin typeface="Century Gothic" panose="020B0502020202020204" pitchFamily="34" charset="0"/>
                </a:rPr>
                <a:t>Ratio de Liquidité Réduite</a:t>
              </a:r>
              <a:endParaRPr lang="fr-BJ" sz="1400" b="1">
                <a:solidFill>
                  <a:schemeClr val="accent3">
                    <a:lumMod val="75000"/>
                  </a:schemeClr>
                </a:solidFill>
                <a:latin typeface="Century Gothic" panose="020B0502020202020204" pitchFamily="34" charset="0"/>
              </a:endParaRPr>
            </a:p>
          </xdr:txBody>
        </xdr:sp>
        <xdr:sp macro="" textlink="Bilan!H14">
          <xdr:nvSpPr>
            <xdr:cNvPr id="63" name="ZoneTexte 62">
              <a:extLst>
                <a:ext uri="{FF2B5EF4-FFF2-40B4-BE49-F238E27FC236}">
                  <a16:creationId xmlns:a16="http://schemas.microsoft.com/office/drawing/2014/main" id="{588F3F36-F6CE-7D33-0EBA-3ADBEDC2D0CA}"/>
                </a:ext>
              </a:extLst>
            </xdr:cNvPr>
            <xdr:cNvSpPr txBox="1"/>
          </xdr:nvSpPr>
          <xdr:spPr>
            <a:xfrm>
              <a:off x="347467" y="1415133"/>
              <a:ext cx="695024" cy="3819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954C7359-C3B6-454D-949B-5F229C8E4464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2,7 </a:t>
              </a:fld>
              <a:endParaRPr lang="fr-BJ" sz="1400" b="0"/>
            </a:p>
          </xdr:txBody>
        </xdr:sp>
        <xdr:sp macro="" textlink="Bilan!I14">
          <xdr:nvSpPr>
            <xdr:cNvPr id="12288" name="ZoneTexte 12287">
              <a:extLst>
                <a:ext uri="{FF2B5EF4-FFF2-40B4-BE49-F238E27FC236}">
                  <a16:creationId xmlns:a16="http://schemas.microsoft.com/office/drawing/2014/main" id="{FC3CC0A8-7032-F734-40DE-FA551EA5974F}"/>
                </a:ext>
              </a:extLst>
            </xdr:cNvPr>
            <xdr:cNvSpPr txBox="1"/>
          </xdr:nvSpPr>
          <xdr:spPr>
            <a:xfrm>
              <a:off x="1148031" y="1421999"/>
              <a:ext cx="608145" cy="400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92A2E61D-D2FD-4735-8A00-98F2E0AC62A3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2,5 </a:t>
              </a:fld>
              <a:endParaRPr lang="fr-BJ" sz="1400" b="0"/>
            </a:p>
          </xdr:txBody>
        </xdr:sp>
        <xdr:sp macro="" textlink="Bilan!#REF!">
          <xdr:nvSpPr>
            <xdr:cNvPr id="12290" name="ZoneTexte 12289">
              <a:extLst>
                <a:ext uri="{FF2B5EF4-FFF2-40B4-BE49-F238E27FC236}">
                  <a16:creationId xmlns:a16="http://schemas.microsoft.com/office/drawing/2014/main" id="{4B8A013E-A4DC-172D-2C5A-7FB95AB7B941}"/>
                </a:ext>
              </a:extLst>
            </xdr:cNvPr>
            <xdr:cNvSpPr txBox="1"/>
          </xdr:nvSpPr>
          <xdr:spPr>
            <a:xfrm>
              <a:off x="1623946" y="1233001"/>
              <a:ext cx="1299338" cy="609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ctr" anchorCtr="1">
              <a:noAutofit/>
            </a:bodyPr>
            <a:lstStyle/>
            <a:p>
              <a:fld id="{85ADC589-248D-4508-9E5D-F8B0A1E5104D}" type="TxLink">
                <a:rPr lang="en-US" sz="12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▼ -0 (-8,1%)</a:t>
              </a:fld>
              <a:endParaRPr lang="en-US" sz="1200" b="1"/>
            </a:p>
          </xdr:txBody>
        </xdr:sp>
        <xdr:sp macro="" textlink="">
          <xdr:nvSpPr>
            <xdr:cNvPr id="12291" name="ZoneTexte 12290">
              <a:extLst>
                <a:ext uri="{FF2B5EF4-FFF2-40B4-BE49-F238E27FC236}">
                  <a16:creationId xmlns:a16="http://schemas.microsoft.com/office/drawing/2014/main" id="{E7C19A64-0D13-3FDF-36AF-7B62FBE5B602}"/>
                </a:ext>
              </a:extLst>
            </xdr:cNvPr>
            <xdr:cNvSpPr txBox="1"/>
          </xdr:nvSpPr>
          <xdr:spPr>
            <a:xfrm>
              <a:off x="157870" y="1745764"/>
              <a:ext cx="1295400" cy="2571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50" b="0" i="1">
                  <a:latin typeface="Century Gothic" panose="020B0502020202020204" pitchFamily="34" charset="0"/>
                </a:rPr>
                <a:t>indice ratio</a:t>
              </a:r>
              <a:endParaRPr lang="fr-BJ" sz="1050" b="0" i="1">
                <a:latin typeface="Century Gothic" panose="020B0502020202020204" pitchFamily="34" charset="0"/>
              </a:endParaRPr>
            </a:p>
          </xdr:txBody>
        </xdr:sp>
      </xdr:grpSp>
      <xdr:grpSp>
        <xdr:nvGrpSpPr>
          <xdr:cNvPr id="12292" name="Groupe 12291">
            <a:extLst>
              <a:ext uri="{FF2B5EF4-FFF2-40B4-BE49-F238E27FC236}">
                <a16:creationId xmlns:a16="http://schemas.microsoft.com/office/drawing/2014/main" id="{F5A664C2-4845-0DE7-1233-682EC0321798}"/>
              </a:ext>
            </a:extLst>
          </xdr:cNvPr>
          <xdr:cNvGrpSpPr/>
        </xdr:nvGrpSpPr>
        <xdr:grpSpPr>
          <a:xfrm>
            <a:off x="11519569" y="752476"/>
            <a:ext cx="2686806" cy="1200150"/>
            <a:chOff x="95250" y="781050"/>
            <a:chExt cx="2686050" cy="1228725"/>
          </a:xfrm>
        </xdr:grpSpPr>
        <xdr:sp macro="" textlink="">
          <xdr:nvSpPr>
            <xdr:cNvPr id="12293" name="Rectangle : coins arrondis 12292">
              <a:extLst>
                <a:ext uri="{FF2B5EF4-FFF2-40B4-BE49-F238E27FC236}">
                  <a16:creationId xmlns:a16="http://schemas.microsoft.com/office/drawing/2014/main" id="{A9BBFDBF-960B-5A87-B952-BD9F37C0B43C}"/>
                </a:ext>
              </a:extLst>
            </xdr:cNvPr>
            <xdr:cNvSpPr/>
          </xdr:nvSpPr>
          <xdr:spPr>
            <a:xfrm>
              <a:off x="95250" y="781050"/>
              <a:ext cx="2686050" cy="1228725"/>
            </a:xfrm>
            <a:prstGeom prst="roundRect">
              <a:avLst>
                <a:gd name="adj" fmla="val 6851"/>
              </a:avLst>
            </a:prstGeom>
            <a:solidFill>
              <a:schemeClr val="bg1"/>
            </a:solidFill>
            <a:ln w="3175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2800">
                <a:solidFill>
                  <a:schemeClr val="bg1">
                    <a:lumMod val="85000"/>
                  </a:schemeClr>
                </a:solidFill>
                <a:latin typeface="Century Gothic" panose="020B0502020202020204" pitchFamily="34" charset="0"/>
              </a:endParaRPr>
            </a:p>
            <a:p>
              <a:pPr algn="l"/>
              <a:r>
                <a:rPr lang="en-US" sz="2800" b="0" baseline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   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   </a:t>
              </a:r>
              <a:r>
                <a:rPr lang="en-US" sz="2800" b="0" baseline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|</a:t>
              </a:r>
            </a:p>
          </xdr:txBody>
        </xdr:sp>
        <xdr:sp macro="" textlink="">
          <xdr:nvSpPr>
            <xdr:cNvPr id="12296" name="ZoneTexte 12295">
              <a:extLst>
                <a:ext uri="{FF2B5EF4-FFF2-40B4-BE49-F238E27FC236}">
                  <a16:creationId xmlns:a16="http://schemas.microsoft.com/office/drawing/2014/main" id="{A450C515-DC11-974F-518B-8D3DE5511B61}"/>
                </a:ext>
              </a:extLst>
            </xdr:cNvPr>
            <xdr:cNvSpPr txBox="1"/>
          </xdr:nvSpPr>
          <xdr:spPr>
            <a:xfrm>
              <a:off x="733426" y="800100"/>
              <a:ext cx="2047874" cy="5476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 b="1">
                  <a:solidFill>
                    <a:srgbClr val="00B050"/>
                  </a:solidFill>
                  <a:latin typeface="Century Gothic" panose="020B0502020202020204" pitchFamily="34" charset="0"/>
                </a:rPr>
                <a:t>Rentabilité </a:t>
              </a:r>
              <a:br>
                <a:rPr lang="fr-FR" sz="1400" b="1">
                  <a:solidFill>
                    <a:srgbClr val="00B050"/>
                  </a:solidFill>
                  <a:latin typeface="Century Gothic" panose="020B0502020202020204" pitchFamily="34" charset="0"/>
                </a:rPr>
              </a:br>
              <a:r>
                <a:rPr lang="fr-FR" sz="1400" b="1">
                  <a:solidFill>
                    <a:srgbClr val="00B050"/>
                  </a:solidFill>
                  <a:latin typeface="Century Gothic" panose="020B0502020202020204" pitchFamily="34" charset="0"/>
                </a:rPr>
                <a:t>Opérationnelle</a:t>
              </a:r>
              <a:endParaRPr lang="fr-BJ" sz="1400" b="1">
                <a:solidFill>
                  <a:srgbClr val="00B050"/>
                </a:solidFill>
                <a:latin typeface="Century Gothic" panose="020B0502020202020204" pitchFamily="34" charset="0"/>
              </a:endParaRPr>
            </a:p>
          </xdr:txBody>
        </xdr:sp>
        <xdr:sp macro="" textlink="Retraitements!K11">
          <xdr:nvSpPr>
            <xdr:cNvPr id="12297" name="ZoneTexte 12296">
              <a:extLst>
                <a:ext uri="{FF2B5EF4-FFF2-40B4-BE49-F238E27FC236}">
                  <a16:creationId xmlns:a16="http://schemas.microsoft.com/office/drawing/2014/main" id="{C319B86B-8868-6C0A-C90F-5A06184A69F0}"/>
                </a:ext>
              </a:extLst>
            </xdr:cNvPr>
            <xdr:cNvSpPr txBox="1"/>
          </xdr:nvSpPr>
          <xdr:spPr>
            <a:xfrm>
              <a:off x="238897" y="1445558"/>
              <a:ext cx="971549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45EE3A3-6EB5-4F00-B64A-01AFFA360052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18,2%</a:t>
              </a:fld>
              <a:endParaRPr lang="en-US" sz="1200" b="0">
                <a:latin typeface="Century Gothic" panose="020B0502020202020204" pitchFamily="34" charset="0"/>
              </a:endParaRPr>
            </a:p>
          </xdr:txBody>
        </xdr:sp>
        <xdr:sp macro="" textlink="Retraitements!L11">
          <xdr:nvSpPr>
            <xdr:cNvPr id="12298" name="ZoneTexte 12297">
              <a:extLst>
                <a:ext uri="{FF2B5EF4-FFF2-40B4-BE49-F238E27FC236}">
                  <a16:creationId xmlns:a16="http://schemas.microsoft.com/office/drawing/2014/main" id="{4C28CC08-EB78-7FED-64ED-51FA2BC4CD0D}"/>
                </a:ext>
              </a:extLst>
            </xdr:cNvPr>
            <xdr:cNvSpPr txBox="1"/>
          </xdr:nvSpPr>
          <xdr:spPr>
            <a:xfrm>
              <a:off x="1055216" y="1446659"/>
              <a:ext cx="876300" cy="400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73D29F9F-F42C-4D3F-A238-8AB90FF63AB0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17,5%</a:t>
              </a:fld>
              <a:endParaRPr lang="fr-BJ" sz="1400" b="0">
                <a:latin typeface="Century Gothic" panose="020B0502020202020204" pitchFamily="34" charset="0"/>
              </a:endParaRPr>
            </a:p>
          </xdr:txBody>
        </xdr:sp>
        <xdr:sp macro="" textlink="Retraitements!K12">
          <xdr:nvSpPr>
            <xdr:cNvPr id="12299" name="ZoneTexte 12298">
              <a:extLst>
                <a:ext uri="{FF2B5EF4-FFF2-40B4-BE49-F238E27FC236}">
                  <a16:creationId xmlns:a16="http://schemas.microsoft.com/office/drawing/2014/main" id="{1C878B7B-2F84-DC8E-800D-D624D0D04D08}"/>
                </a:ext>
              </a:extLst>
            </xdr:cNvPr>
            <xdr:cNvSpPr txBox="1"/>
          </xdr:nvSpPr>
          <xdr:spPr>
            <a:xfrm>
              <a:off x="1822238" y="1284710"/>
              <a:ext cx="815766" cy="5377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ctr" anchorCtr="1">
              <a:noAutofit/>
            </a:bodyPr>
            <a:lstStyle/>
            <a:p>
              <a:fld id="{A274641B-6CCA-4195-8263-42B2AD711CBE}" type="TxLink">
                <a:rPr lang="en-US" sz="11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▼ -0,7% (-3,9%)</a:t>
              </a:fld>
              <a:endParaRPr lang="en-US" sz="1050" b="1">
                <a:latin typeface="Century Gothic" panose="020B0502020202020204" pitchFamily="34" charset="0"/>
              </a:endParaRPr>
            </a:p>
          </xdr:txBody>
        </xdr:sp>
        <xdr:sp macro="" textlink="">
          <xdr:nvSpPr>
            <xdr:cNvPr id="12300" name="ZoneTexte 12299">
              <a:extLst>
                <a:ext uri="{FF2B5EF4-FFF2-40B4-BE49-F238E27FC236}">
                  <a16:creationId xmlns:a16="http://schemas.microsoft.com/office/drawing/2014/main" id="{24E142E7-C05F-E8F7-3985-127F0B102E54}"/>
                </a:ext>
              </a:extLst>
            </xdr:cNvPr>
            <xdr:cNvSpPr txBox="1"/>
          </xdr:nvSpPr>
          <xdr:spPr>
            <a:xfrm>
              <a:off x="158359" y="1745765"/>
              <a:ext cx="1295400" cy="2571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50" b="0" i="1">
                  <a:latin typeface="Century Gothic" panose="020B0502020202020204" pitchFamily="34" charset="0"/>
                </a:rPr>
                <a:t>proportion</a:t>
              </a:r>
              <a:r>
                <a:rPr lang="fr-FR" sz="1050" b="0" i="1" baseline="0">
                  <a:latin typeface="Century Gothic" panose="020B0502020202020204" pitchFamily="34" charset="0"/>
                </a:rPr>
                <a:t> (%)</a:t>
              </a:r>
              <a:endParaRPr lang="fr-BJ" sz="1050" b="0" i="1">
                <a:latin typeface="Century Gothic" panose="020B0502020202020204" pitchFamily="34" charset="0"/>
              </a:endParaRPr>
            </a:p>
          </xdr:txBody>
        </xdr:sp>
      </xdr:grpSp>
      <xdr:grpSp>
        <xdr:nvGrpSpPr>
          <xdr:cNvPr id="12301" name="Groupe 12300">
            <a:extLst>
              <a:ext uri="{FF2B5EF4-FFF2-40B4-BE49-F238E27FC236}">
                <a16:creationId xmlns:a16="http://schemas.microsoft.com/office/drawing/2014/main" id="{0AAF3A6B-0ED0-4AC6-9C9B-FC6858C1B3AE}"/>
              </a:ext>
            </a:extLst>
          </xdr:cNvPr>
          <xdr:cNvGrpSpPr/>
        </xdr:nvGrpSpPr>
        <xdr:grpSpPr>
          <a:xfrm>
            <a:off x="14391391" y="752476"/>
            <a:ext cx="2770295" cy="1200150"/>
            <a:chOff x="95250" y="781050"/>
            <a:chExt cx="2785144" cy="1228725"/>
          </a:xfrm>
        </xdr:grpSpPr>
        <xdr:sp macro="" textlink="">
          <xdr:nvSpPr>
            <xdr:cNvPr id="12302" name="Rectangle : coins arrondis 12301">
              <a:extLst>
                <a:ext uri="{FF2B5EF4-FFF2-40B4-BE49-F238E27FC236}">
                  <a16:creationId xmlns:a16="http://schemas.microsoft.com/office/drawing/2014/main" id="{889D07AC-779A-414E-65DD-286C9541D4AD}"/>
                </a:ext>
              </a:extLst>
            </xdr:cNvPr>
            <xdr:cNvSpPr/>
          </xdr:nvSpPr>
          <xdr:spPr>
            <a:xfrm>
              <a:off x="95250" y="781050"/>
              <a:ext cx="2686050" cy="1228725"/>
            </a:xfrm>
            <a:prstGeom prst="roundRect">
              <a:avLst>
                <a:gd name="adj" fmla="val 6851"/>
              </a:avLst>
            </a:prstGeom>
            <a:solidFill>
              <a:schemeClr val="bg1"/>
            </a:solidFill>
            <a:ln w="3175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280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</a:t>
              </a:r>
            </a:p>
            <a:p>
              <a:pPr algn="l"/>
              <a:r>
                <a:rPr lang="en-US" sz="280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 </a:t>
              </a:r>
              <a:r>
                <a:rPr lang="en-US" sz="2800" baseline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</a:t>
              </a:r>
              <a:r>
                <a:rPr lang="en-US" sz="280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     |</a:t>
              </a:r>
            </a:p>
          </xdr:txBody>
        </xdr:sp>
        <xdr:sp macro="" textlink="">
          <xdr:nvSpPr>
            <xdr:cNvPr id="12304" name="ZoneTexte 12303">
              <a:extLst>
                <a:ext uri="{FF2B5EF4-FFF2-40B4-BE49-F238E27FC236}">
                  <a16:creationId xmlns:a16="http://schemas.microsoft.com/office/drawing/2014/main" id="{9C2B1B2D-0ADB-C670-0EC4-872929861A76}"/>
                </a:ext>
              </a:extLst>
            </xdr:cNvPr>
            <xdr:cNvSpPr txBox="1"/>
          </xdr:nvSpPr>
          <xdr:spPr>
            <a:xfrm>
              <a:off x="772606" y="797969"/>
              <a:ext cx="2008693" cy="5422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 b="1">
                  <a:solidFill>
                    <a:srgbClr val="7030A0"/>
                  </a:solidFill>
                  <a:latin typeface="Century Gothic" panose="020B0502020202020204" pitchFamily="34" charset="0"/>
                </a:rPr>
                <a:t>Résultat Net</a:t>
              </a:r>
              <a:r>
                <a:rPr lang="fr-FR" sz="1400" b="1" baseline="0">
                  <a:solidFill>
                    <a:srgbClr val="7030A0"/>
                  </a:solidFill>
                  <a:latin typeface="Century Gothic" panose="020B0502020202020204" pitchFamily="34" charset="0"/>
                </a:rPr>
                <a:t> </a:t>
              </a:r>
              <a:br>
                <a:rPr lang="fr-FR" sz="1400" b="1" baseline="0">
                  <a:solidFill>
                    <a:srgbClr val="7030A0"/>
                  </a:solidFill>
                  <a:latin typeface="Century Gothic" panose="020B0502020202020204" pitchFamily="34" charset="0"/>
                </a:rPr>
              </a:br>
              <a:r>
                <a:rPr lang="fr-FR" sz="1400" b="1">
                  <a:solidFill>
                    <a:srgbClr val="7030A0"/>
                  </a:solidFill>
                  <a:latin typeface="Century Gothic" panose="020B0502020202020204" pitchFamily="34" charset="0"/>
                </a:rPr>
                <a:t>Normaisé</a:t>
              </a:r>
              <a:endParaRPr lang="fr-BJ" sz="1400" b="1">
                <a:solidFill>
                  <a:srgbClr val="7030A0"/>
                </a:solidFill>
                <a:latin typeface="Century Gothic" panose="020B0502020202020204" pitchFamily="34" charset="0"/>
              </a:endParaRPr>
            </a:p>
          </xdr:txBody>
        </xdr:sp>
        <xdr:sp macro="" textlink="Retraitements!K24">
          <xdr:nvSpPr>
            <xdr:cNvPr id="12305" name="ZoneTexte 12304">
              <a:extLst>
                <a:ext uri="{FF2B5EF4-FFF2-40B4-BE49-F238E27FC236}">
                  <a16:creationId xmlns:a16="http://schemas.microsoft.com/office/drawing/2014/main" id="{0AFB6F90-7821-2B41-0E0B-3FD0B1E18D43}"/>
                </a:ext>
              </a:extLst>
            </xdr:cNvPr>
            <xdr:cNvSpPr txBox="1"/>
          </xdr:nvSpPr>
          <xdr:spPr>
            <a:xfrm>
              <a:off x="132094" y="1468861"/>
              <a:ext cx="971549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FE25E826-E72B-4040-9284-F2A6D9D05D92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23 050 </a:t>
              </a:fld>
              <a:endParaRPr lang="fr-BJ" sz="1400" b="0"/>
            </a:p>
          </xdr:txBody>
        </xdr:sp>
        <xdr:sp macro="" textlink="Retraitements!L24">
          <xdr:nvSpPr>
            <xdr:cNvPr id="12306" name="ZoneTexte 12305">
              <a:extLst>
                <a:ext uri="{FF2B5EF4-FFF2-40B4-BE49-F238E27FC236}">
                  <a16:creationId xmlns:a16="http://schemas.microsoft.com/office/drawing/2014/main" id="{8AD3095F-5A82-13D7-A152-DD57754645BC}"/>
                </a:ext>
              </a:extLst>
            </xdr:cNvPr>
            <xdr:cNvSpPr txBox="1"/>
          </xdr:nvSpPr>
          <xdr:spPr>
            <a:xfrm>
              <a:off x="951661" y="1464201"/>
              <a:ext cx="876300" cy="400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FD4B070-276B-478F-B9A7-3B4DCCC9999C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26 450 </a:t>
              </a:fld>
              <a:endParaRPr lang="fr-BJ" sz="1400" b="0"/>
            </a:p>
          </xdr:txBody>
        </xdr:sp>
        <xdr:sp macro="" textlink="Retraitements!K27">
          <xdr:nvSpPr>
            <xdr:cNvPr id="12307" name="ZoneTexte 12306">
              <a:extLst>
                <a:ext uri="{FF2B5EF4-FFF2-40B4-BE49-F238E27FC236}">
                  <a16:creationId xmlns:a16="http://schemas.microsoft.com/office/drawing/2014/main" id="{ED53A96C-A1C5-5797-C53A-FA4060E7A2D0}"/>
                </a:ext>
              </a:extLst>
            </xdr:cNvPr>
            <xdr:cNvSpPr txBox="1"/>
          </xdr:nvSpPr>
          <xdr:spPr>
            <a:xfrm>
              <a:off x="1785018" y="1232367"/>
              <a:ext cx="1095376" cy="609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ctr" anchorCtr="1">
              <a:noAutofit/>
            </a:bodyPr>
            <a:lstStyle/>
            <a:p>
              <a:fld id="{5E4B37A6-508F-40CF-9DD7-37EFAD060693}" type="TxLink">
                <a:rPr lang="en-US" sz="12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▲ +3 400 (+14,8%)</a:t>
              </a:fld>
              <a:endParaRPr lang="en-US" b="1"/>
            </a:p>
          </xdr:txBody>
        </xdr:sp>
        <xdr:sp macro="" textlink="">
          <xdr:nvSpPr>
            <xdr:cNvPr id="12308" name="ZoneTexte 12307">
              <a:extLst>
                <a:ext uri="{FF2B5EF4-FFF2-40B4-BE49-F238E27FC236}">
                  <a16:creationId xmlns:a16="http://schemas.microsoft.com/office/drawing/2014/main" id="{F63AF2CA-FC54-EAE0-6038-1CE27892EF88}"/>
                </a:ext>
              </a:extLst>
            </xdr:cNvPr>
            <xdr:cNvSpPr txBox="1"/>
          </xdr:nvSpPr>
          <xdr:spPr>
            <a:xfrm>
              <a:off x="167763" y="1745766"/>
              <a:ext cx="1762360" cy="23664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50" b="0" i="1">
                  <a:latin typeface="Century Gothic" panose="020B0502020202020204" pitchFamily="34" charset="0"/>
                </a:rPr>
                <a:t>en milliers</a:t>
              </a:r>
              <a:r>
                <a:rPr lang="fr-FR" sz="1050" b="0" i="1" baseline="0">
                  <a:latin typeface="Century Gothic" panose="020B0502020202020204" pitchFamily="34" charset="0"/>
                </a:rPr>
                <a:t> de FCFA</a:t>
              </a:r>
              <a:endParaRPr lang="fr-BJ" sz="1050" b="0" i="1">
                <a:latin typeface="Century Gothic" panose="020B0502020202020204" pitchFamily="34" charset="0"/>
              </a:endParaRPr>
            </a:p>
          </xdr:txBody>
        </xdr:sp>
      </xdr:grpSp>
      <xdr:grpSp>
        <xdr:nvGrpSpPr>
          <xdr:cNvPr id="12309" name="Groupe 12308">
            <a:extLst>
              <a:ext uri="{FF2B5EF4-FFF2-40B4-BE49-F238E27FC236}">
                <a16:creationId xmlns:a16="http://schemas.microsoft.com/office/drawing/2014/main" id="{5B38921C-935D-1F19-040B-6A5981CB25A6}"/>
              </a:ext>
            </a:extLst>
          </xdr:cNvPr>
          <xdr:cNvGrpSpPr/>
        </xdr:nvGrpSpPr>
        <xdr:grpSpPr>
          <a:xfrm>
            <a:off x="17247711" y="752476"/>
            <a:ext cx="2669527" cy="1209139"/>
            <a:chOff x="95250" y="781050"/>
            <a:chExt cx="2686050" cy="1237928"/>
          </a:xfrm>
        </xdr:grpSpPr>
        <xdr:sp macro="" textlink="">
          <xdr:nvSpPr>
            <xdr:cNvPr id="12310" name="Rectangle : coins arrondis 12309">
              <a:extLst>
                <a:ext uri="{FF2B5EF4-FFF2-40B4-BE49-F238E27FC236}">
                  <a16:creationId xmlns:a16="http://schemas.microsoft.com/office/drawing/2014/main" id="{B89D159F-160B-2C31-36DE-6140EE6DCD39}"/>
                </a:ext>
              </a:extLst>
            </xdr:cNvPr>
            <xdr:cNvSpPr/>
          </xdr:nvSpPr>
          <xdr:spPr>
            <a:xfrm>
              <a:off x="95250" y="781050"/>
              <a:ext cx="2686050" cy="1228725"/>
            </a:xfrm>
            <a:prstGeom prst="roundRect">
              <a:avLst>
                <a:gd name="adj" fmla="val 6851"/>
              </a:avLst>
            </a:prstGeom>
            <a:solidFill>
              <a:schemeClr val="bg1"/>
            </a:solidFill>
            <a:ln w="3175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2800">
                <a:solidFill>
                  <a:schemeClr val="bg1">
                    <a:lumMod val="85000"/>
                  </a:schemeClr>
                </a:solidFill>
                <a:latin typeface="Century Gothic" panose="020B0502020202020204" pitchFamily="34" charset="0"/>
              </a:endParaRPr>
            </a:p>
            <a:p>
              <a:pPr algn="l"/>
              <a:r>
                <a:rPr lang="en-US" sz="2800" baseline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    </a:t>
              </a:r>
              <a:r>
                <a:rPr lang="en-US" sz="280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     |</a:t>
              </a:r>
            </a:p>
          </xdr:txBody>
        </xdr:sp>
        <xdr:sp macro="" textlink="">
          <xdr:nvSpPr>
            <xdr:cNvPr id="12312" name="ZoneTexte 12311">
              <a:extLst>
                <a:ext uri="{FF2B5EF4-FFF2-40B4-BE49-F238E27FC236}">
                  <a16:creationId xmlns:a16="http://schemas.microsoft.com/office/drawing/2014/main" id="{83E79731-304B-7A65-E8A3-BC70538B38BB}"/>
                </a:ext>
              </a:extLst>
            </xdr:cNvPr>
            <xdr:cNvSpPr txBox="1"/>
          </xdr:nvSpPr>
          <xdr:spPr>
            <a:xfrm>
              <a:off x="762000" y="933451"/>
              <a:ext cx="2019300" cy="3714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 b="1">
                  <a:solidFill>
                    <a:schemeClr val="accent1"/>
                  </a:solidFill>
                  <a:latin typeface="Century Gothic" panose="020B0502020202020204" pitchFamily="34" charset="0"/>
                </a:rPr>
                <a:t>Dettes</a:t>
              </a:r>
              <a:r>
                <a:rPr lang="fr-FR" sz="1400" b="1" baseline="0">
                  <a:solidFill>
                    <a:schemeClr val="accent1"/>
                  </a:solidFill>
                  <a:latin typeface="Century Gothic" panose="020B0502020202020204" pitchFamily="34" charset="0"/>
                </a:rPr>
                <a:t> financières</a:t>
              </a:r>
              <a:endParaRPr lang="fr-BJ" sz="1400" b="1">
                <a:solidFill>
                  <a:schemeClr val="accent1"/>
                </a:solidFill>
                <a:latin typeface="Century Gothic" panose="020B0502020202020204" pitchFamily="34" charset="0"/>
              </a:endParaRPr>
            </a:p>
          </xdr:txBody>
        </xdr:sp>
        <xdr:sp macro="" textlink="Bilan!C19">
          <xdr:nvSpPr>
            <xdr:cNvPr id="12313" name="ZoneTexte 12312">
              <a:extLst>
                <a:ext uri="{FF2B5EF4-FFF2-40B4-BE49-F238E27FC236}">
                  <a16:creationId xmlns:a16="http://schemas.microsoft.com/office/drawing/2014/main" id="{C93D007E-A822-D632-D869-A25ABAC89A5E}"/>
                </a:ext>
              </a:extLst>
            </xdr:cNvPr>
            <xdr:cNvSpPr txBox="1"/>
          </xdr:nvSpPr>
          <xdr:spPr>
            <a:xfrm>
              <a:off x="146009" y="1473522"/>
              <a:ext cx="971549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446B50D2-542F-498F-88A0-770CEDC468CF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32 000 </a:t>
              </a:fld>
              <a:endParaRPr lang="fr-BJ" sz="1400" b="0">
                <a:latin typeface="Century Gothic" panose="020B0502020202020204" pitchFamily="34" charset="0"/>
              </a:endParaRPr>
            </a:p>
          </xdr:txBody>
        </xdr:sp>
        <xdr:sp macro="" textlink="Bilan!D19">
          <xdr:nvSpPr>
            <xdr:cNvPr id="12314" name="ZoneTexte 12313">
              <a:extLst>
                <a:ext uri="{FF2B5EF4-FFF2-40B4-BE49-F238E27FC236}">
                  <a16:creationId xmlns:a16="http://schemas.microsoft.com/office/drawing/2014/main" id="{CBFDF0CE-0BE8-365F-0987-B451A2BC5C88}"/>
                </a:ext>
              </a:extLst>
            </xdr:cNvPr>
            <xdr:cNvSpPr txBox="1"/>
          </xdr:nvSpPr>
          <xdr:spPr>
            <a:xfrm>
              <a:off x="937671" y="1464201"/>
              <a:ext cx="876300" cy="400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D72EC5D-E35B-4A2B-A021-F70CC775955A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24 000 </a:t>
              </a:fld>
              <a:endParaRPr lang="fr-BJ" sz="1400" b="0">
                <a:latin typeface="Century Gothic" panose="020B0502020202020204" pitchFamily="34" charset="0"/>
              </a:endParaRPr>
            </a:p>
          </xdr:txBody>
        </xdr:sp>
        <xdr:sp macro="" textlink="Bilan!L18">
          <xdr:nvSpPr>
            <xdr:cNvPr id="12315" name="ZoneTexte 12314">
              <a:extLst>
                <a:ext uri="{FF2B5EF4-FFF2-40B4-BE49-F238E27FC236}">
                  <a16:creationId xmlns:a16="http://schemas.microsoft.com/office/drawing/2014/main" id="{6D4E1501-6E79-59CB-0905-2F9DD9827F45}"/>
                </a:ext>
              </a:extLst>
            </xdr:cNvPr>
            <xdr:cNvSpPr txBox="1"/>
          </xdr:nvSpPr>
          <xdr:spPr>
            <a:xfrm>
              <a:off x="1822634" y="1215377"/>
              <a:ext cx="958666" cy="6272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ctr" anchorCtr="1">
              <a:noAutofit/>
            </a:bodyPr>
            <a:lstStyle/>
            <a:p>
              <a:fld id="{BD674D3B-3FF6-4F15-A0D2-3800413CF5AB}" type="TxLink">
                <a:rPr lang="en-US" sz="12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▼ -8 000 (-25,0%)</a:t>
              </a:fld>
              <a:endParaRPr lang="en-US" b="1">
                <a:latin typeface="Century Gothic" panose="020B0502020202020204" pitchFamily="34" charset="0"/>
              </a:endParaRPr>
            </a:p>
          </xdr:txBody>
        </xdr:sp>
        <xdr:sp macro="" textlink="">
          <xdr:nvSpPr>
            <xdr:cNvPr id="12316" name="ZoneTexte 12315">
              <a:extLst>
                <a:ext uri="{FF2B5EF4-FFF2-40B4-BE49-F238E27FC236}">
                  <a16:creationId xmlns:a16="http://schemas.microsoft.com/office/drawing/2014/main" id="{7F6560D8-3C23-56B5-646E-6B12B0B897FE}"/>
                </a:ext>
              </a:extLst>
            </xdr:cNvPr>
            <xdr:cNvSpPr txBox="1"/>
          </xdr:nvSpPr>
          <xdr:spPr>
            <a:xfrm>
              <a:off x="178207" y="1745764"/>
              <a:ext cx="1786075" cy="2732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50" b="0" i="1">
                  <a:latin typeface="Century Gothic" panose="020B0502020202020204" pitchFamily="34" charset="0"/>
                </a:rPr>
                <a:t>en milliers</a:t>
              </a:r>
              <a:r>
                <a:rPr lang="fr-FR" sz="1050" b="0" i="1" baseline="0">
                  <a:latin typeface="Century Gothic" panose="020B0502020202020204" pitchFamily="34" charset="0"/>
                </a:rPr>
                <a:t> de FCFA</a:t>
              </a:r>
              <a:endParaRPr lang="fr-BJ" sz="1050" b="0" i="1">
                <a:latin typeface="Century Gothic" panose="020B0502020202020204" pitchFamily="34" charset="0"/>
              </a:endParaRPr>
            </a:p>
          </xdr:txBody>
        </xdr:sp>
      </xdr:grpSp>
      <xdr:pic>
        <xdr:nvPicPr>
          <xdr:cNvPr id="12318" name="Graphique 12317" descr="Graphique en secteurs">
            <a:extLst>
              <a:ext uri="{FF2B5EF4-FFF2-40B4-BE49-F238E27FC236}">
                <a16:creationId xmlns:a16="http://schemas.microsoft.com/office/drawing/2014/main" id="{BBF00612-D4F7-4797-4977-5AE985EC39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974807" y="763193"/>
            <a:ext cx="506411" cy="500061"/>
          </a:xfrm>
          <a:prstGeom prst="rect">
            <a:avLst/>
          </a:prstGeom>
        </xdr:spPr>
      </xdr:pic>
      <xdr:pic>
        <xdr:nvPicPr>
          <xdr:cNvPr id="12322" name="Graphique 12321" descr="Pièces">
            <a:extLst>
              <a:ext uri="{FF2B5EF4-FFF2-40B4-BE49-F238E27FC236}">
                <a16:creationId xmlns:a16="http://schemas.microsoft.com/office/drawing/2014/main" id="{EC7FF227-44D0-B0EB-52A9-D3A350FFDA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8697633" y="713185"/>
            <a:ext cx="690563" cy="671512"/>
          </a:xfrm>
          <a:prstGeom prst="rect">
            <a:avLst/>
          </a:prstGeom>
        </xdr:spPr>
      </xdr:pic>
      <xdr:pic>
        <xdr:nvPicPr>
          <xdr:cNvPr id="12324" name="Graphique 12323" descr="Table">
            <a:extLst>
              <a:ext uri="{FF2B5EF4-FFF2-40B4-BE49-F238E27FC236}">
                <a16:creationId xmlns:a16="http://schemas.microsoft.com/office/drawing/2014/main" id="{D1C58EA2-A657-2B69-2E0E-E80AB17595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1607521" y="746524"/>
            <a:ext cx="619125" cy="604837"/>
          </a:xfrm>
          <a:prstGeom prst="rect">
            <a:avLst/>
          </a:prstGeom>
        </xdr:spPr>
      </xdr:pic>
      <xdr:pic>
        <xdr:nvPicPr>
          <xdr:cNvPr id="12326" name="Graphique 12325" descr="Portefeuille">
            <a:extLst>
              <a:ext uri="{FF2B5EF4-FFF2-40B4-BE49-F238E27FC236}">
                <a16:creationId xmlns:a16="http://schemas.microsoft.com/office/drawing/2014/main" id="{0183C898-74FD-28CA-F0EC-5D6C94F7FE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4497302" y="695724"/>
            <a:ext cx="652460" cy="642937"/>
          </a:xfrm>
          <a:prstGeom prst="rect">
            <a:avLst/>
          </a:prstGeom>
        </xdr:spPr>
      </xdr:pic>
      <xdr:pic>
        <xdr:nvPicPr>
          <xdr:cNvPr id="12328" name="Graphique 12327" descr="Argent">
            <a:extLst>
              <a:ext uri="{FF2B5EF4-FFF2-40B4-BE49-F238E27FC236}">
                <a16:creationId xmlns:a16="http://schemas.microsoft.com/office/drawing/2014/main" id="{19B77745-AFAF-3394-9EC8-37F15C7D68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17352685" y="736998"/>
            <a:ext cx="587904" cy="576262"/>
          </a:xfrm>
          <a:prstGeom prst="rect">
            <a:avLst/>
          </a:prstGeom>
        </xdr:spPr>
      </xdr:pic>
      <xdr:grpSp>
        <xdr:nvGrpSpPr>
          <xdr:cNvPr id="3" name="Groupe 2">
            <a:extLst>
              <a:ext uri="{FF2B5EF4-FFF2-40B4-BE49-F238E27FC236}">
                <a16:creationId xmlns:a16="http://schemas.microsoft.com/office/drawing/2014/main" id="{6AA02D4F-0875-96A4-411C-C17915B84A57}"/>
              </a:ext>
            </a:extLst>
          </xdr:cNvPr>
          <xdr:cNvGrpSpPr/>
        </xdr:nvGrpSpPr>
        <xdr:grpSpPr>
          <a:xfrm>
            <a:off x="0" y="770665"/>
            <a:ext cx="2772481" cy="1201147"/>
            <a:chOff x="64296" y="781050"/>
            <a:chExt cx="2772481" cy="1228725"/>
          </a:xfrm>
        </xdr:grpSpPr>
        <xdr:sp macro="" textlink="">
          <xdr:nvSpPr>
            <xdr:cNvPr id="5" name="Rectangle : coins arrondis 4">
              <a:extLst>
                <a:ext uri="{FF2B5EF4-FFF2-40B4-BE49-F238E27FC236}">
                  <a16:creationId xmlns:a16="http://schemas.microsoft.com/office/drawing/2014/main" id="{976EBA4E-5052-15B6-F018-FEFF6B0765EC}"/>
                </a:ext>
              </a:extLst>
            </xdr:cNvPr>
            <xdr:cNvSpPr/>
          </xdr:nvSpPr>
          <xdr:spPr>
            <a:xfrm>
              <a:off x="95250" y="781050"/>
              <a:ext cx="2686050" cy="1228725"/>
            </a:xfrm>
            <a:prstGeom prst="roundRect">
              <a:avLst>
                <a:gd name="adj" fmla="val 6851"/>
              </a:avLst>
            </a:prstGeom>
            <a:solidFill>
              <a:schemeClr val="bg1"/>
            </a:solidFill>
            <a:ln w="3175">
              <a:solidFill>
                <a:schemeClr val="accent1">
                  <a:lumMod val="20000"/>
                  <a:lumOff val="80000"/>
                </a:schemeClr>
              </a:solidFill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200">
                <a:solidFill>
                  <a:sysClr val="windowText" lastClr="000000"/>
                </a:solidFill>
                <a:latin typeface="Century Gothic" panose="020B0502020202020204" pitchFamily="34" charset="0"/>
              </a:endParaRPr>
            </a:p>
            <a:p>
              <a:pPr algn="l"/>
              <a:endParaRPr lang="en-US" sz="1200">
                <a:solidFill>
                  <a:sysClr val="windowText" lastClr="000000"/>
                </a:solidFill>
                <a:latin typeface="Century Gothic" panose="020B0502020202020204" pitchFamily="34" charset="0"/>
              </a:endParaRPr>
            </a:p>
            <a:p>
              <a:pPr algn="l"/>
              <a:r>
                <a:rPr lang="en-US" sz="120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    </a:t>
              </a:r>
              <a:r>
                <a:rPr lang="en-US" sz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</a:t>
              </a:r>
              <a:r>
                <a:rPr lang="en-US" sz="120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      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</a:t>
              </a:r>
              <a:r>
                <a:rPr lang="en-US" sz="2000" b="0">
                  <a:solidFill>
                    <a:sysClr val="windowText" lastClr="000000"/>
                  </a:solidFill>
                  <a:latin typeface="Century Gothic" panose="020B0502020202020204" pitchFamily="34" charset="0"/>
                </a:rPr>
                <a:t>       </a:t>
              </a:r>
              <a:r>
                <a:rPr lang="en-US" sz="2800" b="0">
                  <a:solidFill>
                    <a:schemeClr val="bg1">
                      <a:lumMod val="85000"/>
                    </a:schemeClr>
                  </a:solidFill>
                  <a:latin typeface="Century Gothic" panose="020B0502020202020204" pitchFamily="34" charset="0"/>
                </a:rPr>
                <a:t>|</a:t>
              </a:r>
              <a:endParaRPr lang="en-US" sz="1200" b="0">
                <a:solidFill>
                  <a:schemeClr val="bg1">
                    <a:lumMod val="85000"/>
                  </a:schemeClr>
                </a:solidFill>
                <a:latin typeface="Century Gothic" panose="020B0502020202020204" pitchFamily="34" charset="0"/>
              </a:endParaRPr>
            </a:p>
          </xdr:txBody>
        </xdr:sp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ADA2EB3E-263E-A057-DE85-75997ED9C8F6}"/>
                </a:ext>
              </a:extLst>
            </xdr:cNvPr>
            <xdr:cNvSpPr txBox="1"/>
          </xdr:nvSpPr>
          <xdr:spPr>
            <a:xfrm>
              <a:off x="773906" y="872546"/>
              <a:ext cx="2007395" cy="3714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 b="1">
                  <a:solidFill>
                    <a:srgbClr val="FFCC66"/>
                  </a:solidFill>
                  <a:latin typeface="Century Gothic" panose="020B0502020202020204" pitchFamily="34" charset="0"/>
                </a:rPr>
                <a:t>Chiffre</a:t>
              </a:r>
              <a:r>
                <a:rPr lang="fr-FR" sz="1400" b="1" baseline="0">
                  <a:solidFill>
                    <a:srgbClr val="FFCC66"/>
                  </a:solidFill>
                  <a:latin typeface="Century Gothic" panose="020B0502020202020204" pitchFamily="34" charset="0"/>
                </a:rPr>
                <a:t> d'Affaires</a:t>
              </a:r>
              <a:endParaRPr lang="fr-BJ" sz="1400" b="1">
                <a:solidFill>
                  <a:srgbClr val="FFCC66"/>
                </a:solidFill>
                <a:latin typeface="Century Gothic" panose="020B0502020202020204" pitchFamily="34" charset="0"/>
              </a:endParaRPr>
            </a:p>
          </xdr:txBody>
        </xdr:sp>
        <xdr:sp macro="" textlink="'P&amp;L'!C5">
          <xdr:nvSpPr>
            <xdr:cNvPr id="9" name="ZoneTexte 8">
              <a:extLst>
                <a:ext uri="{FF2B5EF4-FFF2-40B4-BE49-F238E27FC236}">
                  <a16:creationId xmlns:a16="http://schemas.microsoft.com/office/drawing/2014/main" id="{03C43AFA-7603-FF5E-CFC8-C9ABDDFD94D2}"/>
                </a:ext>
              </a:extLst>
            </xdr:cNvPr>
            <xdr:cNvSpPr txBox="1"/>
          </xdr:nvSpPr>
          <xdr:spPr>
            <a:xfrm>
              <a:off x="64296" y="1407126"/>
              <a:ext cx="1005417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1654EDF-EBE4-4053-ADE3-4848E1F40529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236 000 </a:t>
              </a:fld>
              <a:endParaRPr lang="fr-BJ" sz="1400" b="0"/>
            </a:p>
          </xdr:txBody>
        </xdr:sp>
        <xdr:sp macro="" textlink="'P&amp;L'!D5">
          <xdr:nvSpPr>
            <xdr:cNvPr id="10" name="ZoneTexte 9">
              <a:extLst>
                <a:ext uri="{FF2B5EF4-FFF2-40B4-BE49-F238E27FC236}">
                  <a16:creationId xmlns:a16="http://schemas.microsoft.com/office/drawing/2014/main" id="{D09FC579-68AF-B1CA-CCAC-E5E65A7E0CE3}"/>
                </a:ext>
              </a:extLst>
            </xdr:cNvPr>
            <xdr:cNvSpPr txBox="1"/>
          </xdr:nvSpPr>
          <xdr:spPr>
            <a:xfrm>
              <a:off x="905998" y="1401369"/>
              <a:ext cx="1515733" cy="400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8487BB7-E1EF-4399-AE1D-2587FC21C1A0}" type="TxLink">
                <a:rPr lang="en-US" sz="14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 279 500 </a:t>
              </a:fld>
              <a:endParaRPr lang="fr-BJ" sz="1400" b="0"/>
            </a:p>
          </xdr:txBody>
        </xdr:sp>
        <xdr:sp macro="" textlink="'P&amp;L'!L6">
          <xdr:nvSpPr>
            <xdr:cNvPr id="11" name="ZoneTexte 10">
              <a:extLst>
                <a:ext uri="{FF2B5EF4-FFF2-40B4-BE49-F238E27FC236}">
                  <a16:creationId xmlns:a16="http://schemas.microsoft.com/office/drawing/2014/main" id="{89015AE7-C137-C8C8-2756-8D23233C2537}"/>
                </a:ext>
              </a:extLst>
            </xdr:cNvPr>
            <xdr:cNvSpPr txBox="1"/>
          </xdr:nvSpPr>
          <xdr:spPr>
            <a:xfrm>
              <a:off x="1798552" y="1249247"/>
              <a:ext cx="1038225" cy="526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ctr" anchorCtr="1">
              <a:noAutofit/>
            </a:bodyPr>
            <a:lstStyle/>
            <a:p>
              <a:fld id="{FE484DD6-9AB0-457D-B3A1-AD097FD704D4}" type="TxLink">
                <a:rPr lang="en-US" sz="1200" b="0" i="0" u="none" strike="noStrike">
                  <a:solidFill>
                    <a:srgbClr val="000000"/>
                  </a:solidFill>
                  <a:latin typeface="Century Gothic"/>
                </a:rPr>
                <a:pPr/>
                <a:t>▲ +43 500 (+18,4%)</a:t>
              </a:fld>
              <a:endParaRPr lang="en-US" sz="1200" b="1"/>
            </a:p>
          </xdr:txBody>
        </xdr:sp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1667F6DB-FE8A-4B6E-92B9-C8265D2B1843}"/>
                </a:ext>
              </a:extLst>
            </xdr:cNvPr>
            <xdr:cNvSpPr txBox="1"/>
          </xdr:nvSpPr>
          <xdr:spPr>
            <a:xfrm>
              <a:off x="168277" y="1756157"/>
              <a:ext cx="1589886" cy="2310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50" b="0" i="1">
                  <a:latin typeface="Century Gothic" panose="020B0502020202020204" pitchFamily="34" charset="0"/>
                </a:rPr>
                <a:t>en milliers</a:t>
              </a:r>
              <a:r>
                <a:rPr lang="fr-FR" sz="1050" b="0" i="1" baseline="0">
                  <a:latin typeface="Century Gothic" panose="020B0502020202020204" pitchFamily="34" charset="0"/>
                </a:rPr>
                <a:t> de FCFA</a:t>
              </a:r>
              <a:endParaRPr lang="fr-BJ" sz="1050" b="0" i="1">
                <a:latin typeface="Century Gothic" panose="020B0502020202020204" pitchFamily="34" charset="0"/>
              </a:endParaRPr>
            </a:p>
          </xdr:txBody>
        </xdr:sp>
      </xdr:grpSp>
      <xdr:pic>
        <xdr:nvPicPr>
          <xdr:cNvPr id="14" name="Graphique 13" descr="Diamant">
            <a:extLst>
              <a:ext uri="{FF2B5EF4-FFF2-40B4-BE49-F238E27FC236}">
                <a16:creationId xmlns:a16="http://schemas.microsoft.com/office/drawing/2014/main" id="{1C964144-3901-9931-68F8-8E465DE6A9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264586" y="793751"/>
            <a:ext cx="465666" cy="469607"/>
          </a:xfrm>
          <a:prstGeom prst="rect">
            <a:avLst/>
          </a:prstGeom>
          <a:effectLst/>
        </xdr:spPr>
      </xdr:pic>
      <xdr:sp macro="" textlink="">
        <xdr:nvSpPr>
          <xdr:cNvPr id="15" name="ZoneTexte 14">
            <a:extLst>
              <a:ext uri="{FF2B5EF4-FFF2-40B4-BE49-F238E27FC236}">
                <a16:creationId xmlns:a16="http://schemas.microsoft.com/office/drawing/2014/main" id="{F7AB1C21-C273-95A7-D4CE-C6C72ACC49B5}"/>
              </a:ext>
            </a:extLst>
          </xdr:cNvPr>
          <xdr:cNvSpPr txBox="1"/>
        </xdr:nvSpPr>
        <xdr:spPr>
          <a:xfrm>
            <a:off x="105520" y="1190470"/>
            <a:ext cx="557552" cy="2750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N-1</a:t>
            </a:r>
            <a:endParaRPr lang="fr-BJ" sz="1200" b="0">
              <a:solidFill>
                <a:schemeClr val="bg1">
                  <a:lumMod val="65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16" name="ZoneTexte 15">
            <a:extLst>
              <a:ext uri="{FF2B5EF4-FFF2-40B4-BE49-F238E27FC236}">
                <a16:creationId xmlns:a16="http://schemas.microsoft.com/office/drawing/2014/main" id="{6FB9012C-6DA3-09CD-1709-552E44899FD6}"/>
              </a:ext>
            </a:extLst>
          </xdr:cNvPr>
          <xdr:cNvSpPr txBox="1"/>
        </xdr:nvSpPr>
        <xdr:spPr>
          <a:xfrm>
            <a:off x="2947022" y="1209956"/>
            <a:ext cx="621886" cy="2580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N-1</a:t>
            </a:r>
            <a:endParaRPr lang="fr-BJ" sz="1200" b="0">
              <a:solidFill>
                <a:schemeClr val="bg1">
                  <a:lumMod val="65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18" name="ZoneTexte 17">
            <a:extLst>
              <a:ext uri="{FF2B5EF4-FFF2-40B4-BE49-F238E27FC236}">
                <a16:creationId xmlns:a16="http://schemas.microsoft.com/office/drawing/2014/main" id="{AB11E7BD-83F3-8243-169A-4D91761C4A7B}"/>
              </a:ext>
            </a:extLst>
          </xdr:cNvPr>
          <xdr:cNvSpPr txBox="1"/>
        </xdr:nvSpPr>
        <xdr:spPr>
          <a:xfrm>
            <a:off x="8715854" y="1244257"/>
            <a:ext cx="509310" cy="247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N-1</a:t>
            </a:r>
            <a:endParaRPr lang="fr-BJ" sz="1200" b="0">
              <a:solidFill>
                <a:schemeClr val="bg1">
                  <a:lumMod val="65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19" name="ZoneTexte 18">
            <a:extLst>
              <a:ext uri="{FF2B5EF4-FFF2-40B4-BE49-F238E27FC236}">
                <a16:creationId xmlns:a16="http://schemas.microsoft.com/office/drawing/2014/main" id="{A9F1CC4E-121A-E2DF-3D83-8524EB8C4B5A}"/>
              </a:ext>
            </a:extLst>
          </xdr:cNvPr>
          <xdr:cNvSpPr txBox="1"/>
        </xdr:nvSpPr>
        <xdr:spPr>
          <a:xfrm>
            <a:off x="11618055" y="1239776"/>
            <a:ext cx="608591" cy="2518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N-1</a:t>
            </a:r>
            <a:endParaRPr lang="fr-BJ" sz="1200" b="0">
              <a:solidFill>
                <a:schemeClr val="bg1">
                  <a:lumMod val="65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20" name="ZoneTexte 19">
            <a:extLst>
              <a:ext uri="{FF2B5EF4-FFF2-40B4-BE49-F238E27FC236}">
                <a16:creationId xmlns:a16="http://schemas.microsoft.com/office/drawing/2014/main" id="{F7BBC700-A0A2-05F4-F219-43CC7F314A69}"/>
              </a:ext>
            </a:extLst>
          </xdr:cNvPr>
          <xdr:cNvSpPr txBox="1"/>
        </xdr:nvSpPr>
        <xdr:spPr>
          <a:xfrm>
            <a:off x="14497452" y="1249923"/>
            <a:ext cx="529943" cy="269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N-1</a:t>
            </a:r>
            <a:endParaRPr lang="fr-BJ" sz="1200" b="0">
              <a:solidFill>
                <a:schemeClr val="bg1">
                  <a:lumMod val="65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21" name="ZoneTexte 20">
            <a:extLst>
              <a:ext uri="{FF2B5EF4-FFF2-40B4-BE49-F238E27FC236}">
                <a16:creationId xmlns:a16="http://schemas.microsoft.com/office/drawing/2014/main" id="{E77CABC7-25A2-A449-6B95-704924AD7387}"/>
              </a:ext>
            </a:extLst>
          </xdr:cNvPr>
          <xdr:cNvSpPr txBox="1"/>
        </xdr:nvSpPr>
        <xdr:spPr>
          <a:xfrm>
            <a:off x="17360585" y="1234235"/>
            <a:ext cx="580004" cy="2477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N-1</a:t>
            </a:r>
            <a:endParaRPr lang="fr-BJ" sz="1200" b="0">
              <a:solidFill>
                <a:schemeClr val="bg1">
                  <a:lumMod val="65000"/>
                </a:schemeClr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22" name="ZoneTexte 21">
            <a:extLst>
              <a:ext uri="{FF2B5EF4-FFF2-40B4-BE49-F238E27FC236}">
                <a16:creationId xmlns:a16="http://schemas.microsoft.com/office/drawing/2014/main" id="{72AE0576-7685-49FC-9C0F-159FC2D0633A}"/>
              </a:ext>
            </a:extLst>
          </xdr:cNvPr>
          <xdr:cNvSpPr txBox="1"/>
        </xdr:nvSpPr>
        <xdr:spPr>
          <a:xfrm>
            <a:off x="904438" y="1214624"/>
            <a:ext cx="412563" cy="2750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</a:t>
            </a:r>
          </a:p>
        </xdr:txBody>
      </xdr:sp>
      <xdr:sp macro="" textlink="">
        <xdr:nvSpPr>
          <xdr:cNvPr id="23" name="ZoneTexte 22">
            <a:extLst>
              <a:ext uri="{FF2B5EF4-FFF2-40B4-BE49-F238E27FC236}">
                <a16:creationId xmlns:a16="http://schemas.microsoft.com/office/drawing/2014/main" id="{7E76D3D7-669B-8EF2-4A49-9A8F6E5FDE01}"/>
              </a:ext>
            </a:extLst>
          </xdr:cNvPr>
          <xdr:cNvSpPr txBox="1"/>
        </xdr:nvSpPr>
        <xdr:spPr>
          <a:xfrm>
            <a:off x="3781416" y="1238884"/>
            <a:ext cx="412563" cy="2750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</a:t>
            </a:r>
          </a:p>
        </xdr:txBody>
      </xdr:sp>
      <xdr:sp macro="" textlink="">
        <xdr:nvSpPr>
          <xdr:cNvPr id="26" name="ZoneTexte 25">
            <a:extLst>
              <a:ext uri="{FF2B5EF4-FFF2-40B4-BE49-F238E27FC236}">
                <a16:creationId xmlns:a16="http://schemas.microsoft.com/office/drawing/2014/main" id="{4FE39EFA-33DE-B38D-36FD-B8EE16FAB515}"/>
              </a:ext>
            </a:extLst>
          </xdr:cNvPr>
          <xdr:cNvSpPr txBox="1"/>
        </xdr:nvSpPr>
        <xdr:spPr>
          <a:xfrm>
            <a:off x="9555863" y="1244754"/>
            <a:ext cx="412563" cy="267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</a:t>
            </a:r>
          </a:p>
        </xdr:txBody>
      </xdr:sp>
      <xdr:sp macro="" textlink="">
        <xdr:nvSpPr>
          <xdr:cNvPr id="27" name="ZoneTexte 26">
            <a:extLst>
              <a:ext uri="{FF2B5EF4-FFF2-40B4-BE49-F238E27FC236}">
                <a16:creationId xmlns:a16="http://schemas.microsoft.com/office/drawing/2014/main" id="{9E22A353-2D78-EEF9-8E30-68C3F2E3CFA5}"/>
              </a:ext>
            </a:extLst>
          </xdr:cNvPr>
          <xdr:cNvSpPr txBox="1"/>
        </xdr:nvSpPr>
        <xdr:spPr>
          <a:xfrm>
            <a:off x="12419776" y="1234670"/>
            <a:ext cx="411240" cy="269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</a:t>
            </a:r>
          </a:p>
        </xdr:txBody>
      </xdr:sp>
      <xdr:sp macro="" textlink="">
        <xdr:nvSpPr>
          <xdr:cNvPr id="31" name="ZoneTexte 30">
            <a:extLst>
              <a:ext uri="{FF2B5EF4-FFF2-40B4-BE49-F238E27FC236}">
                <a16:creationId xmlns:a16="http://schemas.microsoft.com/office/drawing/2014/main" id="{B2CB3DEE-5018-3A3E-DFD7-6DE93D4BAFF8}"/>
              </a:ext>
            </a:extLst>
          </xdr:cNvPr>
          <xdr:cNvSpPr txBox="1"/>
        </xdr:nvSpPr>
        <xdr:spPr>
          <a:xfrm>
            <a:off x="15294038" y="1243572"/>
            <a:ext cx="408205" cy="269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</a:t>
            </a:r>
          </a:p>
        </xdr:txBody>
      </xdr:sp>
      <xdr:sp macro="" textlink="">
        <xdr:nvSpPr>
          <xdr:cNvPr id="34" name="ZoneTexte 33">
            <a:extLst>
              <a:ext uri="{FF2B5EF4-FFF2-40B4-BE49-F238E27FC236}">
                <a16:creationId xmlns:a16="http://schemas.microsoft.com/office/drawing/2014/main" id="{6DB6EE5B-5B11-E343-7D9F-7C639EC4DE9B}"/>
              </a:ext>
            </a:extLst>
          </xdr:cNvPr>
          <xdr:cNvSpPr txBox="1"/>
        </xdr:nvSpPr>
        <xdr:spPr>
          <a:xfrm>
            <a:off x="18147523" y="1241891"/>
            <a:ext cx="405559" cy="2698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200" b="0">
                <a:solidFill>
                  <a:schemeClr val="bg1">
                    <a:lumMod val="65000"/>
                  </a:schemeClr>
                </a:solidFill>
                <a:latin typeface="Century Gothic" panose="020B0502020202020204" pitchFamily="34" charset="0"/>
              </a:rPr>
              <a:t>N</a:t>
            </a:r>
          </a:p>
        </xdr:txBody>
      </xdr:sp>
    </xdr:grpSp>
    <xdr:clientData/>
  </xdr:twoCellAnchor>
  <xdr:twoCellAnchor>
    <xdr:from>
      <xdr:col>6</xdr:col>
      <xdr:colOff>410599</xdr:colOff>
      <xdr:row>10</xdr:row>
      <xdr:rowOff>0</xdr:rowOff>
    </xdr:from>
    <xdr:to>
      <xdr:col>15</xdr:col>
      <xdr:colOff>0</xdr:colOff>
      <xdr:row>17</xdr:row>
      <xdr:rowOff>50800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AA4BF6C0-031A-44CD-3B3D-4D155353B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393842</xdr:colOff>
      <xdr:row>17</xdr:row>
      <xdr:rowOff>131690</xdr:rowOff>
    </xdr:from>
    <xdr:to>
      <xdr:col>15</xdr:col>
      <xdr:colOff>0</xdr:colOff>
      <xdr:row>21</xdr:row>
      <xdr:rowOff>25400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0" name="Graphique 39">
              <a:extLst>
                <a:ext uri="{FF2B5EF4-FFF2-40B4-BE49-F238E27FC236}">
                  <a16:creationId xmlns:a16="http://schemas.microsoft.com/office/drawing/2014/main" id="{EE46EF36-CEE4-494F-BD43-81E188700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3792" y="5837165"/>
              <a:ext cx="3797158" cy="2408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J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21</xdr:row>
      <xdr:rowOff>32107</xdr:rowOff>
    </xdr:from>
    <xdr:to>
      <xdr:col>15</xdr:col>
      <xdr:colOff>0</xdr:colOff>
      <xdr:row>23</xdr:row>
      <xdr:rowOff>32107</xdr:rowOff>
    </xdr:to>
    <xdr:sp macro="" textlink="">
      <xdr:nvSpPr>
        <xdr:cNvPr id="41" name="Rectangle : coins arrondis 40">
          <a:extLst>
            <a:ext uri="{FF2B5EF4-FFF2-40B4-BE49-F238E27FC236}">
              <a16:creationId xmlns:a16="http://schemas.microsoft.com/office/drawing/2014/main" id="{9F878C43-8FDB-5E25-5DBA-94B9597621A5}"/>
            </a:ext>
          </a:extLst>
        </xdr:cNvPr>
        <xdr:cNvSpPr/>
      </xdr:nvSpPr>
      <xdr:spPr>
        <a:xfrm>
          <a:off x="0" y="8230028"/>
          <a:ext cx="18151011" cy="42809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BJ" sz="1100"/>
        </a:p>
      </xdr:txBody>
    </xdr:sp>
    <xdr:clientData/>
  </xdr:twoCellAnchor>
  <xdr:twoCellAnchor editAs="oneCell">
    <xdr:from>
      <xdr:col>1</xdr:col>
      <xdr:colOff>358953</xdr:colOff>
      <xdr:row>21</xdr:row>
      <xdr:rowOff>111338</xdr:rowOff>
    </xdr:from>
    <xdr:to>
      <xdr:col>1</xdr:col>
      <xdr:colOff>643598</xdr:colOff>
      <xdr:row>22</xdr:row>
      <xdr:rowOff>181938</xdr:rowOff>
    </xdr:to>
    <xdr:pic>
      <xdr:nvPicPr>
        <xdr:cNvPr id="43" name="Graphique 42" descr="Tribunal">
          <a:extLst>
            <a:ext uri="{FF2B5EF4-FFF2-40B4-BE49-F238E27FC236}">
              <a16:creationId xmlns:a16="http://schemas.microsoft.com/office/drawing/2014/main" id="{76B44951-6352-661D-2F0F-5DAC635A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58953" y="8309259"/>
          <a:ext cx="284645" cy="284645"/>
        </a:xfrm>
        <a:prstGeom prst="rect">
          <a:avLst/>
        </a:prstGeom>
      </xdr:spPr>
    </xdr:pic>
    <xdr:clientData/>
  </xdr:twoCellAnchor>
  <xdr:twoCellAnchor>
    <xdr:from>
      <xdr:col>1</xdr:col>
      <xdr:colOff>602787</xdr:colOff>
      <xdr:row>21</xdr:row>
      <xdr:rowOff>137058</xdr:rowOff>
    </xdr:from>
    <xdr:to>
      <xdr:col>2</xdr:col>
      <xdr:colOff>422133</xdr:colOff>
      <xdr:row>22</xdr:row>
      <xdr:rowOff>207658</xdr:rowOff>
    </xdr:to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DE67459F-27D3-12B7-11CC-7DF7E5E76D50}"/>
            </a:ext>
          </a:extLst>
        </xdr:cNvPr>
        <xdr:cNvSpPr txBox="1"/>
      </xdr:nvSpPr>
      <xdr:spPr>
        <a:xfrm>
          <a:off x="602787" y="8334979"/>
          <a:ext cx="2473503" cy="28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KOSSOU DISTRIBUTION SARL</a:t>
          </a:r>
          <a:endParaRPr lang="fr-BJ" sz="1100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1438130</xdr:colOff>
      <xdr:row>21</xdr:row>
      <xdr:rowOff>111338</xdr:rowOff>
    </xdr:from>
    <xdr:to>
      <xdr:col>6</xdr:col>
      <xdr:colOff>0</xdr:colOff>
      <xdr:row>22</xdr:row>
      <xdr:rowOff>181938</xdr:rowOff>
    </xdr:to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DB417D08-1A8F-843F-1E76-969768540E07}"/>
            </a:ext>
          </a:extLst>
        </xdr:cNvPr>
        <xdr:cNvSpPr txBox="1"/>
      </xdr:nvSpPr>
      <xdr:spPr>
        <a:xfrm>
          <a:off x="7345770" y="8309259"/>
          <a:ext cx="3292264" cy="28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Tableau de bord Financier</a:t>
          </a:r>
          <a:r>
            <a:rPr lang="fr-FR" sz="1100" baseline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 |  N-1 VS N</a:t>
          </a:r>
          <a:endParaRPr lang="fr-BJ" sz="1100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14928</xdr:colOff>
      <xdr:row>21</xdr:row>
      <xdr:rowOff>137058</xdr:rowOff>
    </xdr:from>
    <xdr:to>
      <xdr:col>14</xdr:col>
      <xdr:colOff>174237</xdr:colOff>
      <xdr:row>23</xdr:row>
      <xdr:rowOff>51441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045C478B-C014-39A9-0D87-77FF0E4A29CC}"/>
            </a:ext>
          </a:extLst>
        </xdr:cNvPr>
        <xdr:cNvSpPr txBox="1"/>
      </xdr:nvSpPr>
      <xdr:spPr>
        <a:xfrm>
          <a:off x="13992063" y="8334979"/>
          <a:ext cx="3498410" cy="342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5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Source : Balanc</a:t>
          </a:r>
          <a:r>
            <a:rPr lang="fr-FR" sz="1050" baseline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e comptable - Service Comptable</a:t>
          </a:r>
          <a:endParaRPr lang="fr-BJ" sz="1050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14</xdr:col>
      <xdr:colOff>74692</xdr:colOff>
      <xdr:row>21</xdr:row>
      <xdr:rowOff>106062</xdr:rowOff>
    </xdr:from>
    <xdr:to>
      <xdr:col>14</xdr:col>
      <xdr:colOff>362692</xdr:colOff>
      <xdr:row>22</xdr:row>
      <xdr:rowOff>180017</xdr:rowOff>
    </xdr:to>
    <xdr:pic>
      <xdr:nvPicPr>
        <xdr:cNvPr id="48" name="Graphique 47" descr="Base de données">
          <a:extLst>
            <a:ext uri="{FF2B5EF4-FFF2-40B4-BE49-F238E27FC236}">
              <a16:creationId xmlns:a16="http://schemas.microsoft.com/office/drawing/2014/main" id="{6B173DE2-5C67-12C3-907C-327FA3FA9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7390928" y="8303983"/>
          <a:ext cx="288000" cy="288000"/>
        </a:xfrm>
        <a:prstGeom prst="rect">
          <a:avLst/>
        </a:prstGeom>
      </xdr:spPr>
    </xdr:pic>
    <xdr:clientData/>
  </xdr:twoCellAnchor>
  <xdr:oneCellAnchor>
    <xdr:from>
      <xdr:col>12</xdr:col>
      <xdr:colOff>244599</xdr:colOff>
      <xdr:row>0</xdr:row>
      <xdr:rowOff>57150</xdr:rowOff>
    </xdr:from>
    <xdr:ext cx="1603932" cy="371475"/>
    <xdr:sp macro="" textlink="">
      <xdr:nvSpPr>
        <xdr:cNvPr id="53" name="ZoneTexte 52">
          <a:extLst>
            <a:ext uri="{FF2B5EF4-FFF2-40B4-BE49-F238E27FC236}">
              <a16:creationId xmlns:a16="http://schemas.microsoft.com/office/drawing/2014/main" id="{59ADE831-917C-5B27-A2A3-199521B120C1}"/>
            </a:ext>
          </a:extLst>
        </xdr:cNvPr>
        <xdr:cNvSpPr txBox="1"/>
      </xdr:nvSpPr>
      <xdr:spPr>
        <a:xfrm>
          <a:off x="15889412" y="57150"/>
          <a:ext cx="1603932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100">
              <a:solidFill>
                <a:schemeClr val="bg1"/>
              </a:solidFill>
              <a:latin typeface="Century Gothic" panose="020B0502020202020204" pitchFamily="34" charset="0"/>
            </a:rPr>
            <a:t>Dernière Mise à Jour</a:t>
          </a:r>
        </a:p>
      </xdr:txBody>
    </xdr:sp>
    <xdr:clientData/>
  </xdr:oneCellAnchor>
  <xdr:oneCellAnchor>
    <xdr:from>
      <xdr:col>12</xdr:col>
      <xdr:colOff>269156</xdr:colOff>
      <xdr:row>1</xdr:row>
      <xdr:rowOff>48564</xdr:rowOff>
    </xdr:from>
    <xdr:ext cx="1257696" cy="312458"/>
    <xdr:sp macro="" textlink="">
      <xdr:nvSpPr>
        <xdr:cNvPr id="61" name="ZoneTexte 60">
          <a:extLst>
            <a:ext uri="{FF2B5EF4-FFF2-40B4-BE49-F238E27FC236}">
              <a16:creationId xmlns:a16="http://schemas.microsoft.com/office/drawing/2014/main" id="{A8A0173C-9329-1553-9707-F4EACA44DFEB}"/>
            </a:ext>
          </a:extLst>
        </xdr:cNvPr>
        <xdr:cNvSpPr txBox="1"/>
      </xdr:nvSpPr>
      <xdr:spPr>
        <a:xfrm>
          <a:off x="15913969" y="262877"/>
          <a:ext cx="1257696" cy="312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4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25/05/2026</a:t>
          </a:r>
        </a:p>
      </xdr:txBody>
    </xdr:sp>
    <xdr:clientData/>
  </xdr:oneCellAnchor>
  <xdr:twoCellAnchor editAs="oneCell">
    <xdr:from>
      <xdr:col>11</xdr:col>
      <xdr:colOff>660529</xdr:colOff>
      <xdr:row>0</xdr:row>
      <xdr:rowOff>85856</xdr:rowOff>
    </xdr:from>
    <xdr:to>
      <xdr:col>12</xdr:col>
      <xdr:colOff>316571</xdr:colOff>
      <xdr:row>2</xdr:row>
      <xdr:rowOff>146710</xdr:rowOff>
    </xdr:to>
    <xdr:pic>
      <xdr:nvPicPr>
        <xdr:cNvPr id="12294" name="Graphique 12293" descr="Calendrier quotidien">
          <a:extLst>
            <a:ext uri="{FF2B5EF4-FFF2-40B4-BE49-F238E27FC236}">
              <a16:creationId xmlns:a16="http://schemas.microsoft.com/office/drawing/2014/main" id="{19898DEE-0987-CB23-F672-5F6C58E6E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5471904" y="85856"/>
          <a:ext cx="489479" cy="489479"/>
        </a:xfrm>
        <a:prstGeom prst="rect">
          <a:avLst/>
        </a:prstGeom>
      </xdr:spPr>
    </xdr:pic>
    <xdr:clientData/>
  </xdr:twoCellAnchor>
  <xdr:twoCellAnchor>
    <xdr:from>
      <xdr:col>6</xdr:col>
      <xdr:colOff>408215</xdr:colOff>
      <xdr:row>17</xdr:row>
      <xdr:rowOff>136071</xdr:rowOff>
    </xdr:from>
    <xdr:to>
      <xdr:col>10</xdr:col>
      <xdr:colOff>303545</xdr:colOff>
      <xdr:row>21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B7A3F09-C5ED-4B5B-A192-7AD87A72B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sline" refreshedDate="46289.975379745367" createdVersion="8" refreshedVersion="8" minRefreshableVersion="3" recordCount="38" xr:uid="{7BE84890-0E62-4AE7-AF82-770A7BED6DC9}">
  <cacheSource type="worksheet">
    <worksheetSource name="Balance"/>
  </cacheSource>
  <cacheFields count="6">
    <cacheField name="N° Compte" numFmtId="0">
      <sharedItems/>
    </cacheField>
    <cacheField name="Libellé du Compte" numFmtId="0">
      <sharedItems/>
    </cacheField>
    <cacheField name="Bucket" numFmtId="0">
      <sharedItems count="19">
        <s v="Capitaux_Propres"/>
        <s v="Dettes_Financieres"/>
        <s v="Immo_Brut"/>
        <s v="Amortissements"/>
        <s v="Stocks"/>
        <s v="Dettes_Fournisseurs"/>
        <s v="Creances_Clients"/>
        <s v="Dettes_Sociales_Fiscales"/>
        <s v="Tresorerie_Actif"/>
        <s v="Achats_Marchandises"/>
        <s v="Consommations"/>
        <s v="Impots_Taxes"/>
        <s v="Charges_Personnel"/>
        <s v="Dotations aux amortissements"/>
        <s v="Charges_Financieres"/>
        <s v="Impot_Resultat"/>
        <s v="Chiffre_Affaires"/>
        <s v="Produits_Divers"/>
        <s v="Produits_Financiers"/>
      </sharedItems>
    </cacheField>
    <cacheField name="Position" numFmtId="0">
      <sharedItems/>
    </cacheField>
    <cacheField name="Solde N-1" numFmtId="0">
      <sharedItems containsSemiMixedTypes="0" containsString="0" containsNumber="1" containsInteger="1" minValue="0" maxValue="236000"/>
    </cacheField>
    <cacheField name="Solde N" numFmtId="0">
      <sharedItems containsSemiMixedTypes="0" containsString="0" containsNumber="1" containsInteger="1" minValue="200" maxValue="27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101"/>
    <s v="Capital social"/>
    <x v="0"/>
    <s v="PASSIF"/>
    <n v="50000"/>
    <n v="50000"/>
  </r>
  <r>
    <s v="106"/>
    <s v="Reserves"/>
    <x v="0"/>
    <s v="PASSIF"/>
    <n v="18000"/>
    <n v="24500"/>
  </r>
  <r>
    <s v="110"/>
    <s v="Report a nouveau"/>
    <x v="0"/>
    <s v="PASSIF"/>
    <n v="4200"/>
    <n v="4200"/>
  </r>
  <r>
    <s v="162"/>
    <s v="Emprunts aupres des ets de credit"/>
    <x v="1"/>
    <s v="PASSIF"/>
    <n v="32000"/>
    <n v="24000"/>
  </r>
  <r>
    <s v="213"/>
    <s v="Logiciels"/>
    <x v="2"/>
    <s v="ACTIF"/>
    <n v="3200"/>
    <n v="4600"/>
  </r>
  <r>
    <s v="231"/>
    <s v="Batiments"/>
    <x v="2"/>
    <s v="ACTIF"/>
    <n v="45000"/>
    <n v="45000"/>
  </r>
  <r>
    <s v="244"/>
    <s v="Materiel et mobilier de bureau"/>
    <x v="2"/>
    <s v="ACTIF"/>
    <n v="12800"/>
    <n v="15200"/>
  </r>
  <r>
    <s v="245"/>
    <s v="Materiel de transport"/>
    <x v="2"/>
    <s v="ACTIF"/>
    <n v="21000"/>
    <n v="21000"/>
  </r>
  <r>
    <s v="2813"/>
    <s v="Amort. logiciels"/>
    <x v="3"/>
    <s v="ACTIF"/>
    <n v="1600"/>
    <n v="2400"/>
  </r>
  <r>
    <s v="2831"/>
    <s v="Amort. batiments"/>
    <x v="3"/>
    <s v="ACTIF"/>
    <n v="9000"/>
    <n v="11250"/>
  </r>
  <r>
    <s v="2844"/>
    <s v="Amort. materiel et mobilier"/>
    <x v="3"/>
    <s v="ACTIF"/>
    <n v="6400"/>
    <n v="8200"/>
  </r>
  <r>
    <s v="2845"/>
    <s v="Amort. materiel de transport"/>
    <x v="3"/>
    <s v="ACTIF"/>
    <n v="8400"/>
    <n v="12600"/>
  </r>
  <r>
    <s v="311"/>
    <s v="Marchandises"/>
    <x v="4"/>
    <s v="ACTIF"/>
    <n v="18500"/>
    <n v="22300"/>
  </r>
  <r>
    <s v="401"/>
    <s v="Fournisseurs"/>
    <x v="5"/>
    <s v="PASSIF"/>
    <n v="21400"/>
    <n v="26800"/>
  </r>
  <r>
    <s v="411"/>
    <s v="Clients"/>
    <x v="6"/>
    <s v="ACTIF"/>
    <n v="28900"/>
    <n v="35600"/>
  </r>
  <r>
    <s v="422"/>
    <s v="Personnel, remunerations dues"/>
    <x v="7"/>
    <s v="PASSIF"/>
    <n v="3100"/>
    <n v="3400"/>
  </r>
  <r>
    <s v="431"/>
    <s v="Organismes sociaux"/>
    <x v="7"/>
    <s v="PASSIF"/>
    <n v="1800"/>
    <n v="2100"/>
  </r>
  <r>
    <s v="447"/>
    <s v="Etat, impots et taxes"/>
    <x v="7"/>
    <s v="PASSIF"/>
    <n v="2600"/>
    <n v="3050"/>
  </r>
  <r>
    <s v="445"/>
    <s v="TVA a decaisser"/>
    <x v="7"/>
    <s v="PASSIF"/>
    <n v="1900"/>
    <n v="2250"/>
  </r>
  <r>
    <s v="571"/>
    <s v="Caisse"/>
    <x v="8"/>
    <s v="ACTIF"/>
    <n v="850"/>
    <n v="1100"/>
  </r>
  <r>
    <s v="601"/>
    <s v="Achats de marchandises (part 1)"/>
    <x v="9"/>
    <s v="CR"/>
    <n v="142000"/>
    <n v="100800"/>
  </r>
  <r>
    <s v="601"/>
    <s v="Achats de marchandises (part 2)"/>
    <x v="9"/>
    <s v="CR"/>
    <n v="0"/>
    <n v="67200"/>
  </r>
  <r>
    <s v="605"/>
    <s v="Autres achats"/>
    <x v="10"/>
    <s v="CR"/>
    <n v="3200"/>
    <n v="3600"/>
  </r>
  <r>
    <s v="612"/>
    <s v="Entretien, reparations et maintenance"/>
    <x v="10"/>
    <s v="CR"/>
    <n v="0"/>
    <n v="1450"/>
  </r>
  <r>
    <s v="611"/>
    <s v="Transports sur achats/ventes"/>
    <x v="10"/>
    <s v="CR"/>
    <n v="4100"/>
    <n v="4900"/>
  </r>
  <r>
    <s v="613"/>
    <s v="Redevances de credit-bail"/>
    <x v="10"/>
    <s v="CR"/>
    <n v="6000"/>
    <n v="6000"/>
  </r>
  <r>
    <s v="622"/>
    <s v="Remunerations d'intermediaires et personnel exterieur"/>
    <x v="10"/>
    <s v="CR"/>
    <n v="8400"/>
    <n v="12600"/>
  </r>
  <r>
    <s v="628"/>
    <s v="Autres services exterieurs"/>
    <x v="10"/>
    <s v="CR"/>
    <n v="3600"/>
    <n v="4100"/>
  </r>
  <r>
    <s v="641"/>
    <s v="Impots et taxes"/>
    <x v="11"/>
    <s v="CR"/>
    <n v="1900"/>
    <n v="2200"/>
  </r>
  <r>
    <s v="661"/>
    <s v="Charges de personnel (salaires)"/>
    <x v="12"/>
    <s v="CR"/>
    <n v="24500"/>
    <n v="27800"/>
  </r>
  <r>
    <s v="664"/>
    <s v="Charges sociales"/>
    <x v="12"/>
    <s v="CR"/>
    <n v="6200"/>
    <n v="7050"/>
  </r>
  <r>
    <s v="681"/>
    <s v="Dotations aux amortissements"/>
    <x v="13"/>
    <s v="CR"/>
    <n v="7100"/>
    <n v="9050"/>
  </r>
  <r>
    <s v="671"/>
    <s v="Charges financieres (interets)"/>
    <x v="14"/>
    <s v="CR"/>
    <n v="2900"/>
    <n v="2200"/>
  </r>
  <r>
    <s v="891"/>
    <s v="Impots sur le resultat"/>
    <x v="15"/>
    <s v="CR"/>
    <n v="4100"/>
    <n v="5450"/>
  </r>
  <r>
    <s v="701"/>
    <s v="Ventes de marchandises"/>
    <x v="16"/>
    <s v="CR"/>
    <n v="236000"/>
    <n v="279500"/>
  </r>
  <r>
    <s v="758"/>
    <s v="Autres produits divers"/>
    <x v="17"/>
    <s v="CR"/>
    <n v="900"/>
    <n v="1150"/>
  </r>
  <r>
    <s v="771"/>
    <s v="Produits financiers"/>
    <x v="18"/>
    <s v="CR"/>
    <n v="150"/>
    <n v="200"/>
  </r>
  <r>
    <s v="521"/>
    <s v="Banque"/>
    <x v="8"/>
    <s v="ACTIF"/>
    <n v="53200"/>
    <n v="56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9566A-D30E-491B-83E0-A3FC77B285F8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6:I7" firstHeaderRow="0" firstDataRow="1" firstDataCol="0" rowPageCount="1" colPageCount="1"/>
  <pivotFields count="6">
    <pivotField showAll="0"/>
    <pivotField showAll="0"/>
    <pivotField axis="axisPage" showAll="0">
      <items count="20">
        <item x="9"/>
        <item x="3"/>
        <item x="0"/>
        <item x="14"/>
        <item x="12"/>
        <item x="16"/>
        <item x="10"/>
        <item x="6"/>
        <item x="1"/>
        <item x="5"/>
        <item x="7"/>
        <item x="13"/>
        <item x="2"/>
        <item x="15"/>
        <item x="11"/>
        <item x="17"/>
        <item x="18"/>
        <item x="4"/>
        <item x="8"/>
        <item t="default"/>
      </items>
    </pivotField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lde.N-1" fld="4" baseField="0" baseItem="1"/>
    <dataField name="Solde.N" fld="5" baseField="0" baseItem="1"/>
  </dataFields>
  <formats count="8"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dataOnly="0" labelOnly="1" outline="0" fieldPosition="0">
        <references count="1">
          <reference field="2" count="1">
            <x v="13"/>
          </reference>
        </references>
      </pivotArea>
    </format>
    <format dxfId="84">
      <pivotArea outline="0" collapsedLevelsAreSubtotals="1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/>
    </format>
    <format dxfId="8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7EC02501-FD70-49AB-B357-A082D915A45B}" autoFormatId="16" applyNumberFormats="0" applyBorderFormats="0" applyFontFormats="0" applyPatternFormats="0" applyAlignmentFormats="0" applyWidthHeightFormats="0">
  <queryTableRefresh nextId="12">
    <queryTableFields count="4">
      <queryTableField id="2" name="Radical" tableColumnId="2"/>
      <queryTableField id="6" name="Intitulé" tableColumnId="6"/>
      <queryTableField id="3" name="Bucket" tableColumnId="3"/>
      <queryTableField id="4" name="Position" tableColumnId="4"/>
    </queryTableFields>
    <queryTableDeletedFields count="3">
      <deletedField name="N° Compte"/>
      <deletedField name="N° Compte"/>
      <deletedField name="N° Compt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8E31E5F-7B22-48D6-98F9-46EED781C598}" autoFormatId="16" applyNumberFormats="0" applyBorderFormats="0" applyFontFormats="0" applyPatternFormats="0" applyAlignmentFormats="0" applyWidthHeightFormats="0">
  <queryTableRefresh nextId="23">
    <queryTableFields count="6">
      <queryTableField id="5" name="Compte" tableColumnId="5"/>
      <queryTableField id="2" name="Intitulé" tableColumnId="2"/>
      <queryTableField id="6" name="Bucket" tableColumnId="6"/>
      <queryTableField id="7" name="Position" tableColumnId="7"/>
      <queryTableField id="3" name="Solde N-1" tableColumnId="3"/>
      <queryTableField id="4" name="Solde N" tableColumnId="4"/>
    </queryTableFields>
    <queryTableDeletedFields count="7">
      <deletedField name="Numéro_Compte"/>
      <deletedField name="Numéro_Compte"/>
      <deletedField name="Numéro_Compte"/>
      <deletedField name="Numéro_Compte"/>
      <deletedField name="Numéro_Compte"/>
      <deletedField name="Numéro_Compte"/>
      <deletedField name="Numéro_Compte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178D54-1E6A-4254-984A-10A3AC4F06F1}" name="Tableau6" displayName="Tableau6" ref="B4:G42" totalsRowShown="0" headerRowDxfId="127" dataDxfId="125" headerRowBorderDxfId="126" tableBorderDxfId="124" totalsRowBorderDxfId="123">
  <autoFilter ref="B4:G42" xr:uid="{43178D54-1E6A-4254-984A-10A3AC4F06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6894526-AED6-4C1E-8EDB-420AF25A879B}" name="N° Compte" dataDxfId="122"/>
    <tableColumn id="2" xr3:uid="{187E52EC-A0C3-4D30-BEC2-C12E1A1B10FA}" name="Intitulé" dataDxfId="121"/>
    <tableColumn id="3" xr3:uid="{7C27001B-7D9D-4829-B51D-D2C0D74E1550}" name="Débit N-1" dataDxfId="120"/>
    <tableColumn id="4" xr3:uid="{8C877F7C-6C0D-4910-A0A0-EE0B6F1E69EB}" name="Crédit N-1" dataDxfId="119"/>
    <tableColumn id="5" xr3:uid="{A7FFD716-E676-4315-B34E-38A409BC9F31}" name="Débit N" dataDxfId="118"/>
    <tableColumn id="6" xr3:uid="{D1E4ECD2-F58C-4B13-97B6-98B96B276B93}" name="Crédit N" dataDxfId="1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F0FC0-686D-46D6-A8EB-A68BA78CABD0}" name="Tableau2" displayName="Tableau2" ref="B3:J41" totalsRowShown="0" headerRowDxfId="116" dataDxfId="114" headerRowBorderDxfId="115" tableBorderDxfId="113" totalsRowBorderDxfId="112">
  <autoFilter ref="B3:J41" xr:uid="{673F0FC0-686D-46D6-A8EB-A68BA78CAB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68BF940-17D5-4A09-9664-B2604ADBCEB2}" name="N° Compte" dataDxfId="111"/>
    <tableColumn id="2" xr3:uid="{0D95E852-4783-4F1A-BEDE-F87B2514282B}" name="Intitulé" dataDxfId="110"/>
    <tableColumn id="3" xr3:uid="{DAC6E5F8-39C5-41D2-ABBC-BF54CF397632}" name="Débit N-1" dataDxfId="109"/>
    <tableColumn id="4" xr3:uid="{DE96F696-8265-4E2C-BF11-E3B54713074A}" name="Crédit N-1" dataDxfId="108"/>
    <tableColumn id="5" xr3:uid="{A2F2B73B-7937-4725-962F-99669219FFD5}" name="Débit N" dataDxfId="107"/>
    <tableColumn id="6" xr3:uid="{829BF612-F6DC-4A00-957B-242A6F9B2D05}" name="Crédit N" dataDxfId="106"/>
    <tableColumn id="7" xr3:uid="{4F7D6EEE-C992-43BB-B780-ED40E49E4FDE}" name="Solde N-1" dataDxfId="105">
      <calculatedColumnFormula>D4-E4</calculatedColumnFormula>
    </tableColumn>
    <tableColumn id="8" xr3:uid="{169F7FC4-A478-472E-9C9A-D5EA8ED6A5B2}" name="Solde N" dataDxfId="104">
      <calculatedColumnFormula>F4-G4</calculatedColumnFormula>
    </tableColumn>
    <tableColumn id="9" xr3:uid="{C1250B31-07E4-42B9-B224-9DA63838436A}" name="Contrôle" dataDxfId="103">
      <calculatedColumnFormula>$H4*$I4&gt;0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B392DA-7CC6-41D5-803F-6A74723F45DE}" name="Mapping" displayName="Mapping" ref="B4:E41" tableType="queryTable" totalsRowShown="0" headerRowDxfId="102" dataDxfId="101" headerRowCellStyle="Milliers [0]" dataCellStyle="Milliers [0]">
  <autoFilter ref="B4:E41" xr:uid="{F6B392DA-7CC6-41D5-803F-6A74723F45DE}">
    <filterColumn colId="0" hiddenButton="1"/>
    <filterColumn colId="1" hiddenButton="1"/>
    <filterColumn colId="2" hiddenButton="1"/>
    <filterColumn colId="3" hiddenButton="1"/>
  </autoFilter>
  <tableColumns count="4">
    <tableColumn id="2" xr3:uid="{F79EBA97-E4E9-4F4A-A98E-0275E8F20266}" uniqueName="2" name="N° Compte" queryTableFieldId="2" dataDxfId="100" dataCellStyle="Milliers [0]"/>
    <tableColumn id="6" xr3:uid="{A462816D-B83C-409F-B508-91B8C523F52F}" uniqueName="6" name="Libellé de compte" queryTableFieldId="6" dataDxfId="99" dataCellStyle="Milliers [0]"/>
    <tableColumn id="3" xr3:uid="{C8F947D6-E232-4CCB-9E5F-855BECEDFC3D}" uniqueName="3" name="Bucket" queryTableFieldId="3" dataDxfId="98" dataCellStyle="Milliers [0]"/>
    <tableColumn id="4" xr3:uid="{77342199-97EE-4E6D-9BD8-F3F66BB167EE}" uniqueName="4" name="Position" queryTableFieldId="4" dataDxfId="97" dataCellStyle="Milliers [0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0FBC0C-A3BF-48F5-8B65-1405058B191C}" name="Balance" displayName="Balance" ref="B4:G42" tableType="queryTable" totalsRowShown="0" headerRowDxfId="96" dataDxfId="95" headerRowCellStyle="Milliers [0]" dataCellStyle="Milliers [0]">
  <autoFilter ref="B4:G42" xr:uid="{310FBC0C-A3BF-48F5-8B65-1405058B19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5" xr3:uid="{33B46C7D-9B52-4B1F-A8D9-C06BA878E4DE}" uniqueName="5" name="N° Compte" queryTableFieldId="5" dataDxfId="94" dataCellStyle="Milliers [0]"/>
    <tableColumn id="2" xr3:uid="{88746E96-A524-4BE9-AD42-859325773E68}" uniqueName="2" name="Libellé de compte" queryTableFieldId="2" dataDxfId="93" dataCellStyle="Milliers [0]"/>
    <tableColumn id="6" xr3:uid="{27A07575-CE5A-476D-905C-A33033284911}" uniqueName="6" name="Bucket" queryTableFieldId="6" dataDxfId="92" dataCellStyle="Milliers [0]"/>
    <tableColumn id="7" xr3:uid="{5B5D1992-3BF4-4191-9376-318676EFD818}" uniqueName="7" name="Position" queryTableFieldId="7" dataDxfId="91" dataCellStyle="Milliers [0]"/>
    <tableColumn id="3" xr3:uid="{BA84F2A0-DB57-4FAB-8F5D-B2A7930B64FB}" uniqueName="3" name="Solde N-1" queryTableFieldId="3" dataDxfId="90" dataCellStyle="Milliers [0]"/>
    <tableColumn id="4" xr3:uid="{3D64F0E2-FE61-40D1-BD0D-EE17331F0892}" uniqueName="4" name="Solde N" queryTableFieldId="4" dataDxfId="89" dataCellStyle="Milliers [0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E80323-DCD7-4C26-9984-63F029C4B573}" name="Tableau5" displayName="Tableau5" ref="B4:F29" totalsRowShown="0" headerRowDxfId="80" dataDxfId="79" headerRowCellStyle="Milliers [0]" dataCellStyle="Milliers [0]">
  <autoFilter ref="B4:F29" xr:uid="{6DE80323-DCD7-4C26-9984-63F029C4B57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ED3B1E3-7F67-468D-A91D-95BC3649515B}" name="Libellé" dataDxfId="78" dataCellStyle="Milliers [0]"/>
    <tableColumn id="2" xr3:uid="{C8E9B53B-B7CD-40E6-BF89-5A9BBE7AEAC1}" name="N-1" dataDxfId="77" dataCellStyle="Milliers [0]"/>
    <tableColumn id="3" xr3:uid="{85725079-1BDF-4346-8C9E-17A658D32F8F}" name="N" dataDxfId="76" dataCellStyle="Milliers [0]"/>
    <tableColumn id="4" xr3:uid="{EFEE68A1-E0F1-4C1C-A20F-7290E6F3F510}" name="ecart absolu" dataDxfId="75" dataCellStyle="Milliers [0]"/>
    <tableColumn id="5" xr3:uid="{DAFEBD30-DCB6-427A-B9AF-4289327F0398}" name="ecart en %" dataDxfId="74" dataCellStyle="Pourcen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83CF79-8AE9-4FCC-A6C2-AB7D04804FE3}" name="Tableau7" displayName="Tableau7" ref="B4:D13" totalsRowShown="0" headerRowDxfId="73" dataDxfId="72" headerRowCellStyle="Milliers [0]" dataCellStyle="Milliers [0]">
  <autoFilter ref="B4:D13" xr:uid="{0183CF79-8AE9-4FCC-A6C2-AB7D04804FE3}">
    <filterColumn colId="0" hiddenButton="1"/>
    <filterColumn colId="1" hiddenButton="1"/>
    <filterColumn colId="2" hiddenButton="1"/>
  </autoFilter>
  <tableColumns count="3">
    <tableColumn id="1" xr3:uid="{6E9C6949-EBD4-4476-8A58-70571C39A317}" name="ACTIF" dataDxfId="71" dataCellStyle="Milliers [0]"/>
    <tableColumn id="2" xr3:uid="{AEB014B0-F4C5-47F8-B8CD-CA269E1DC287}" name="N-1" dataDxfId="70" dataCellStyle="Milliers [0]"/>
    <tableColumn id="3" xr3:uid="{FB93C564-8C25-4EC5-9A6A-0CC9534FED2F}" name="N" dataDxfId="69" dataCellStyle="Milliers [0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E1438D-C3C1-49C3-8F89-93356169BDAC}" name="Tableau8" displayName="Tableau8" ref="B16:D24" totalsRowShown="0" headerRowDxfId="68" dataDxfId="67" headerRowCellStyle="Milliers [0]" dataCellStyle="Milliers [0]">
  <autoFilter ref="B16:D24" xr:uid="{3EE1438D-C3C1-49C3-8F89-93356169BDAC}">
    <filterColumn colId="0" hiddenButton="1"/>
    <filterColumn colId="1" hiddenButton="1"/>
    <filterColumn colId="2" hiddenButton="1"/>
  </autoFilter>
  <tableColumns count="3">
    <tableColumn id="1" xr3:uid="{D9EFB001-A5D9-48D5-A038-4C417D79467B}" name="PASSIF" dataDxfId="66" dataCellStyle="Milliers [0]"/>
    <tableColumn id="2" xr3:uid="{1734713A-A88D-45CA-9B81-F0F7F6564677}" name="N-1" dataDxfId="65" dataCellStyle="Milliers [0]"/>
    <tableColumn id="3" xr3:uid="{1E8EB651-4EBC-41C3-B6D7-CFA5780E03D9}" name="N" dataDxfId="64" dataCellStyle="Milliers [0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1A96D90-F419-4B0F-AA15-92F48C52D188}" name="Tableau15" displayName="Tableau15" ref="G4:I19" totalsRowShown="0" headerRowDxfId="63" dataDxfId="61" headerRowBorderDxfId="62" tableBorderDxfId="60" headerRowCellStyle="Milliers [0]" dataCellStyle="Milliers [0]">
  <autoFilter ref="G4:I19" xr:uid="{41A96D90-F419-4B0F-AA15-92F48C52D188}">
    <filterColumn colId="0" hiddenButton="1"/>
    <filterColumn colId="1" hiddenButton="1"/>
    <filterColumn colId="2" hiddenButton="1"/>
  </autoFilter>
  <tableColumns count="3">
    <tableColumn id="1" xr3:uid="{176918DF-40A3-439A-93EA-C91172A157CA}" name="Libellé" dataDxfId="59" dataCellStyle="Milliers [0]"/>
    <tableColumn id="2" xr3:uid="{7A406A2B-EC88-42C7-A2FC-F1F3C071AB12}" name="N-1" dataDxfId="58" dataCellStyle="Milliers [0]"/>
    <tableColumn id="3" xr3:uid="{D60A468C-71D6-4437-8EB0-A890FB2A7782}" name="N" dataDxfId="57" dataCellStyle="Milliers [0]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7EB5FF-A3CF-46DD-8BD7-B976FDBB2E57}" name="Tableau9" displayName="Tableau9" ref="B9:D24" totalsRowShown="0" headerRowDxfId="56" dataDxfId="55" headerRowCellStyle="Milliers [0]" dataCellStyle="Milliers [0]">
  <autoFilter ref="B9:D24" xr:uid="{B47EB5FF-A3CF-46DD-8BD7-B976FDBB2E57}">
    <filterColumn colId="0" hiddenButton="1"/>
    <filterColumn colId="1" hiddenButton="1"/>
    <filterColumn colId="2" hiddenButton="1"/>
  </autoFilter>
  <tableColumns count="3">
    <tableColumn id="1" xr3:uid="{CB046B73-A796-4B83-A410-2988893876FC}" name="Libellé" dataDxfId="54" dataCellStyle="Milliers [0]"/>
    <tableColumn id="2" xr3:uid="{07B46F50-F3C1-46F0-BBD6-E4ED812154B4}" name="N-1" dataDxfId="53" dataCellStyle="Milliers [0]"/>
    <tableColumn id="3" xr3:uid="{5891C82E-B8FF-4EF9-9BAE-93FE8E44FE2A}" name="N" dataDxfId="52" dataCellStyle="Milliers [0]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E0736-CE09-465E-ACEA-1ADE385DA34D}" name="Tableau1" displayName="Tableau1" ref="B32:D37" totalsRowShown="0" headerRowDxfId="51" dataDxfId="50" headerRowCellStyle="Milliers [0]" dataCellStyle="Milliers [0]">
  <autoFilter ref="B32:D37" xr:uid="{179E0736-CE09-465E-ACEA-1ADE385DA34D}">
    <filterColumn colId="0" hiddenButton="1"/>
    <filterColumn colId="1" hiddenButton="1"/>
    <filterColumn colId="2" hiddenButton="1"/>
  </autoFilter>
  <tableColumns count="3">
    <tableColumn id="1" xr3:uid="{93ED9DFD-004E-4A0C-A716-316C07341C66}" name="Libellé" dataDxfId="49" dataCellStyle="Milliers [0]"/>
    <tableColumn id="2" xr3:uid="{CBF8912B-F8DD-4630-8CE3-06BE089EF55D}" name="N-1" dataDxfId="48" dataCellStyle="Milliers [0]"/>
    <tableColumn id="3" xr3:uid="{5A324334-651C-4A54-8CA3-F8B6CE727B6A}" name="N" dataDxfId="47" dataCellStyle="Milliers [0]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3229EE8-AB92-48AC-97E1-8A18DD53F74C}" name="Tableau18" displayName="Tableau18" ref="G9:I12" totalsRowShown="0" headerRowDxfId="46" headerRowCellStyle="Milliers [0]">
  <autoFilter ref="G9:I12" xr:uid="{93229EE8-AB92-48AC-97E1-8A18DD53F74C}">
    <filterColumn colId="0" hiddenButton="1"/>
    <filterColumn colId="1" hiddenButton="1"/>
    <filterColumn colId="2" hiddenButton="1"/>
  </autoFilter>
  <tableColumns count="3">
    <tableColumn id="1" xr3:uid="{3DAD6252-2DE2-49AD-8832-A86C10AB2DAE}" name="Libellé" dataDxfId="45" dataCellStyle="Milliers [0]"/>
    <tableColumn id="2" xr3:uid="{710DA81B-5DB5-4CF4-A9A9-14D082BB8CF4}" name="N-1"/>
    <tableColumn id="3" xr3:uid="{FB2B2DEA-7C44-453E-82D3-D13B2F051BDF}" name="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DD8432-0661-48DA-B474-2EA563E56ECC}" name="Tableau20" displayName="Tableau20" ref="G32:I35" totalsRowShown="0" headerRowDxfId="44" headerRowCellStyle="Milliers [0]">
  <autoFilter ref="G32:I35" xr:uid="{1DDD8432-0661-48DA-B474-2EA563E56ECC}">
    <filterColumn colId="0" hiddenButton="1"/>
    <filterColumn colId="1" hiddenButton="1"/>
    <filterColumn colId="2" hiddenButton="1"/>
  </autoFilter>
  <tableColumns count="3">
    <tableColumn id="1" xr3:uid="{6280D756-FCFA-411E-BFE6-9EAD865BFAB6}" name="Libellé" dataDxfId="43" dataCellStyle="Milliers [0]"/>
    <tableColumn id="2" xr3:uid="{83ED5F52-2E84-40BD-95FC-2A617E812BF3}" name="N-1"/>
    <tableColumn id="3" xr3:uid="{DD6D5466-617F-4451-8C0D-022F0461618E}" name="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EA8781-F521-4DC2-8DDE-60F359E45588}" name="Tableau10" displayName="Tableau10" ref="B4:D11" totalsRowShown="0" headerRowDxfId="42" dataDxfId="41" headerRowCellStyle="Milliers [0]" dataCellStyle="Milliers [0]">
  <autoFilter ref="B4:D11" xr:uid="{31EA8781-F521-4DC2-8DDE-60F359E45588}">
    <filterColumn colId="0" hiddenButton="1"/>
    <filterColumn colId="1" hiddenButton="1"/>
    <filterColumn colId="2" hiddenButton="1"/>
  </autoFilter>
  <tableColumns count="3">
    <tableColumn id="1" xr3:uid="{D03E4A3B-9A31-4616-9446-40D6C7D59D64}" name="Libellé " dataDxfId="40" dataCellStyle="Milliers [0]"/>
    <tableColumn id="2" xr3:uid="{7BD444D1-5289-4500-8934-40391073A31C}" name="N-1" dataDxfId="39" dataCellStyle="Milliers [0]"/>
    <tableColumn id="3" xr3:uid="{44B95CE5-A2ED-4829-B1DE-D372B36D914B}" name="N" dataDxfId="38" dataCellStyle="Milliers [0]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37F973-2BA1-441F-AD92-71C2AC7A6AAB}" name="Tableau12" displayName="Tableau12" ref="B4:C22" totalsRowShown="0" headerRowDxfId="37" dataDxfId="36" headerRowCellStyle="Milliers [0]" dataCellStyle="Milliers [0]">
  <autoFilter ref="B4:C22" xr:uid="{D237F973-2BA1-441F-AD92-71C2AC7A6AAB}">
    <filterColumn colId="0" hiddenButton="1"/>
    <filterColumn colId="1" hiddenButton="1"/>
  </autoFilter>
  <tableColumns count="2">
    <tableColumn id="1" xr3:uid="{1CE389E4-0BCB-4D27-AB64-8AEE29CE024F}" name="Libellé" dataDxfId="35" dataCellStyle="Milliers [0]"/>
    <tableColumn id="2" xr3:uid="{16C5661E-24F9-4216-B9D3-98782CAC376D}" name="Montant " dataDxfId="34" dataCellStyle="Milliers [0]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B64722-39D7-4F72-B34D-C67B06BE7DDC}" name="Tableau13" displayName="Tableau13" ref="E4:G5" totalsRowShown="0" headerRowDxfId="33" dataDxfId="32" headerRowCellStyle="Milliers [0]" dataCellStyle="Milliers [0]">
  <autoFilter ref="E4:G5" xr:uid="{1DB64722-39D7-4F72-B34D-C67B06BE7DDC}">
    <filterColumn colId="0" hiddenButton="1"/>
    <filterColumn colId="1" hiddenButton="1"/>
    <filterColumn colId="2" hiddenButton="1"/>
  </autoFilter>
  <tableColumns count="3">
    <tableColumn id="1" xr3:uid="{406CFAFE-2826-44DE-8B25-1FAD0E42F575}" name="Variation Nette Trésorerie " dataDxfId="31" dataCellStyle="Milliers [0]">
      <calculatedColumnFormula>SUM(C13+C17+C22)</calculatedColumnFormula>
    </tableColumn>
    <tableColumn id="2" xr3:uid="{0E98FF8B-3161-441B-8D9F-00D0AE18F253}" name="Trésorerie N-1" dataDxfId="30" dataCellStyle="Milliers [0]">
      <calculatedColumnFormula>Bilan!C11</calculatedColumnFormula>
    </tableColumn>
    <tableColumn id="3" xr3:uid="{4AD99307-1358-4F06-8741-E2D66CD4C757}" name="Trésorerie N" dataDxfId="29" dataCellStyle="Milliers [0]">
      <calculatedColumnFormula>Bilan!D11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E16219F-73E8-4170-83DB-5C45BB8C3BA0}" name="Tableau22" displayName="Tableau22" ref="B12:F21" totalsRowShown="0" headerRowDxfId="28" dataDxfId="26" headerRowBorderDxfId="27" headerRowCellStyle="Milliers [0]" dataCellStyle="Milliers [0]">
  <autoFilter ref="B12:F21" xr:uid="{5E16219F-73E8-4170-83DB-5C45BB8C3BA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33CDB10-D7CF-45F4-B307-731AE0371567}" name="Indicateurs" dataDxfId="25" dataCellStyle="Milliers [0]"/>
    <tableColumn id="2" xr3:uid="{963A8C96-F5DF-46B6-B8BC-FEF6A4B8C3AF}" name="N-1" dataDxfId="24" dataCellStyle="Milliers [0]"/>
    <tableColumn id="3" xr3:uid="{F675B0FE-F894-40B3-AE1E-29767767008B}" name="N" dataDxfId="23" dataCellStyle="Milliers [0]"/>
    <tableColumn id="4" xr3:uid="{7AB2ADD0-8D53-4888-A4F7-0BF5A4139A22}" name="Evolution" dataDxfId="22" dataCellStyle="Milliers [0]"/>
    <tableColumn id="5" xr3:uid="{B1A13E87-3B3A-4D9C-87AF-3536048D1125}" name="Lecture / Commentaire" dataDxfId="21" dataCellStyle="Milliers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409C-7DB0-4887-9DDF-9A685001BB87}">
  <sheetPr codeName="Feuil2"/>
  <dimension ref="A1:G42"/>
  <sheetViews>
    <sheetView showGridLines="0" zoomScale="90" zoomScaleNormal="90" workbookViewId="0">
      <pane ySplit="4" topLeftCell="A5" activePane="bottomLeft" state="frozen"/>
      <selection pane="bottomLeft" activeCell="M16" sqref="M16"/>
    </sheetView>
  </sheetViews>
  <sheetFormatPr baseColWidth="10" defaultColWidth="8.7109375" defaultRowHeight="17.25" x14ac:dyDescent="0.3"/>
  <cols>
    <col min="1" max="1" width="8.7109375" style="1"/>
    <col min="2" max="2" width="14.7109375" style="1" customWidth="1"/>
    <col min="3" max="3" width="40" style="1" customWidth="1"/>
    <col min="4" max="4" width="12.85546875" style="1" customWidth="1"/>
    <col min="5" max="5" width="13.7109375" style="1" customWidth="1"/>
    <col min="6" max="7" width="12" style="1" customWidth="1"/>
    <col min="8" max="16384" width="8.7109375" style="1"/>
  </cols>
  <sheetData>
    <row r="1" spans="1:7" ht="18.75" x14ac:dyDescent="0.3">
      <c r="A1" s="90" t="s">
        <v>253</v>
      </c>
      <c r="B1" s="91"/>
    </row>
    <row r="2" spans="1:7" x14ac:dyDescent="0.3">
      <c r="B2" s="87" t="s">
        <v>261</v>
      </c>
    </row>
    <row r="4" spans="1:7" ht="26.25" customHeight="1" x14ac:dyDescent="0.3">
      <c r="B4" s="18" t="s">
        <v>0</v>
      </c>
      <c r="C4" s="19" t="s">
        <v>1</v>
      </c>
      <c r="D4" s="19" t="s">
        <v>2</v>
      </c>
      <c r="E4" s="19" t="s">
        <v>3</v>
      </c>
      <c r="F4" s="19" t="s">
        <v>4</v>
      </c>
      <c r="G4" s="20" t="s">
        <v>5</v>
      </c>
    </row>
    <row r="5" spans="1:7" x14ac:dyDescent="0.3">
      <c r="B5" s="66">
        <v>101000</v>
      </c>
      <c r="C5" s="21" t="s">
        <v>6</v>
      </c>
      <c r="D5" s="22">
        <v>0</v>
      </c>
      <c r="E5" s="22">
        <v>50000</v>
      </c>
      <c r="F5" s="22">
        <v>0</v>
      </c>
      <c r="G5" s="23">
        <v>50000</v>
      </c>
    </row>
    <row r="6" spans="1:7" x14ac:dyDescent="0.3">
      <c r="B6" s="66">
        <v>106000</v>
      </c>
      <c r="C6" s="21" t="s">
        <v>7</v>
      </c>
      <c r="D6" s="22">
        <v>0</v>
      </c>
      <c r="E6" s="22">
        <v>18000</v>
      </c>
      <c r="F6" s="22">
        <v>0</v>
      </c>
      <c r="G6" s="23">
        <v>24500</v>
      </c>
    </row>
    <row r="7" spans="1:7" x14ac:dyDescent="0.3">
      <c r="B7" s="66">
        <v>110000</v>
      </c>
      <c r="C7" s="21" t="s">
        <v>8</v>
      </c>
      <c r="D7" s="22">
        <v>0</v>
      </c>
      <c r="E7" s="22">
        <v>4200</v>
      </c>
      <c r="F7" s="22">
        <v>0</v>
      </c>
      <c r="G7" s="23">
        <v>4200</v>
      </c>
    </row>
    <row r="8" spans="1:7" x14ac:dyDescent="0.3">
      <c r="B8" s="66">
        <v>162000</v>
      </c>
      <c r="C8" s="21" t="s">
        <v>9</v>
      </c>
      <c r="D8" s="22">
        <v>0</v>
      </c>
      <c r="E8" s="22">
        <v>32000</v>
      </c>
      <c r="F8" s="22">
        <v>0</v>
      </c>
      <c r="G8" s="23">
        <v>24000</v>
      </c>
    </row>
    <row r="9" spans="1:7" x14ac:dyDescent="0.3">
      <c r="B9" s="66">
        <v>213000</v>
      </c>
      <c r="C9" s="21" t="s">
        <v>10</v>
      </c>
      <c r="D9" s="22">
        <v>3200</v>
      </c>
      <c r="E9" s="22">
        <v>0</v>
      </c>
      <c r="F9" s="22">
        <v>4600</v>
      </c>
      <c r="G9" s="23">
        <v>0</v>
      </c>
    </row>
    <row r="10" spans="1:7" x14ac:dyDescent="0.3">
      <c r="B10" s="66">
        <v>231000</v>
      </c>
      <c r="C10" s="21" t="s">
        <v>11</v>
      </c>
      <c r="D10" s="22">
        <v>45000</v>
      </c>
      <c r="E10" s="22">
        <v>0</v>
      </c>
      <c r="F10" s="22">
        <v>45000</v>
      </c>
      <c r="G10" s="23">
        <v>0</v>
      </c>
    </row>
    <row r="11" spans="1:7" x14ac:dyDescent="0.3">
      <c r="B11" s="66">
        <v>244000</v>
      </c>
      <c r="C11" s="21" t="s">
        <v>12</v>
      </c>
      <c r="D11" s="22">
        <v>12800</v>
      </c>
      <c r="E11" s="22">
        <v>0</v>
      </c>
      <c r="F11" s="22">
        <v>15200</v>
      </c>
      <c r="G11" s="23">
        <v>0</v>
      </c>
    </row>
    <row r="12" spans="1:7" x14ac:dyDescent="0.3">
      <c r="B12" s="66">
        <v>245000</v>
      </c>
      <c r="C12" s="21" t="s">
        <v>13</v>
      </c>
      <c r="D12" s="22">
        <v>21000</v>
      </c>
      <c r="E12" s="22">
        <v>0</v>
      </c>
      <c r="F12" s="22">
        <v>21000</v>
      </c>
      <c r="G12" s="23">
        <v>0</v>
      </c>
    </row>
    <row r="13" spans="1:7" x14ac:dyDescent="0.3">
      <c r="B13" s="66">
        <v>281300</v>
      </c>
      <c r="C13" s="21" t="s">
        <v>14</v>
      </c>
      <c r="D13" s="22">
        <v>0</v>
      </c>
      <c r="E13" s="22">
        <v>1600</v>
      </c>
      <c r="F13" s="22">
        <v>0</v>
      </c>
      <c r="G13" s="23">
        <v>2400</v>
      </c>
    </row>
    <row r="14" spans="1:7" x14ac:dyDescent="0.3">
      <c r="B14" s="66">
        <v>283100</v>
      </c>
      <c r="C14" s="21" t="s">
        <v>15</v>
      </c>
      <c r="D14" s="22">
        <v>0</v>
      </c>
      <c r="E14" s="22">
        <v>9000</v>
      </c>
      <c r="F14" s="22">
        <v>0</v>
      </c>
      <c r="G14" s="23">
        <v>11250</v>
      </c>
    </row>
    <row r="15" spans="1:7" x14ac:dyDescent="0.3">
      <c r="B15" s="66">
        <v>284400</v>
      </c>
      <c r="C15" s="21" t="s">
        <v>16</v>
      </c>
      <c r="D15" s="22">
        <v>0</v>
      </c>
      <c r="E15" s="22">
        <v>6400</v>
      </c>
      <c r="F15" s="22">
        <v>0</v>
      </c>
      <c r="G15" s="23">
        <v>8200</v>
      </c>
    </row>
    <row r="16" spans="1:7" x14ac:dyDescent="0.3">
      <c r="B16" s="66">
        <v>284500</v>
      </c>
      <c r="C16" s="21" t="s">
        <v>17</v>
      </c>
      <c r="D16" s="22">
        <v>0</v>
      </c>
      <c r="E16" s="22">
        <v>8400</v>
      </c>
      <c r="F16" s="22">
        <v>0</v>
      </c>
      <c r="G16" s="23">
        <v>12600</v>
      </c>
    </row>
    <row r="17" spans="2:7" x14ac:dyDescent="0.3">
      <c r="B17" s="66">
        <v>311000</v>
      </c>
      <c r="C17" s="21" t="s">
        <v>18</v>
      </c>
      <c r="D17" s="22">
        <v>18500</v>
      </c>
      <c r="E17" s="22">
        <v>0</v>
      </c>
      <c r="F17" s="22">
        <v>22300</v>
      </c>
      <c r="G17" s="23">
        <v>0</v>
      </c>
    </row>
    <row r="18" spans="2:7" x14ac:dyDescent="0.3">
      <c r="B18" s="66">
        <v>401000</v>
      </c>
      <c r="C18" s="21" t="s">
        <v>19</v>
      </c>
      <c r="D18" s="22">
        <v>0</v>
      </c>
      <c r="E18" s="22">
        <v>21400</v>
      </c>
      <c r="F18" s="22">
        <v>0</v>
      </c>
      <c r="G18" s="23">
        <v>26800</v>
      </c>
    </row>
    <row r="19" spans="2:7" x14ac:dyDescent="0.3">
      <c r="B19" s="66">
        <v>411000</v>
      </c>
      <c r="C19" s="21" t="s">
        <v>20</v>
      </c>
      <c r="D19" s="22">
        <v>28900</v>
      </c>
      <c r="E19" s="22">
        <v>0</v>
      </c>
      <c r="F19" s="22">
        <v>35600</v>
      </c>
      <c r="G19" s="23">
        <v>0</v>
      </c>
    </row>
    <row r="20" spans="2:7" x14ac:dyDescent="0.3">
      <c r="B20" s="66">
        <v>422000</v>
      </c>
      <c r="C20" s="21" t="s">
        <v>21</v>
      </c>
      <c r="D20" s="22">
        <v>0</v>
      </c>
      <c r="E20" s="22">
        <v>3100</v>
      </c>
      <c r="F20" s="22">
        <v>0</v>
      </c>
      <c r="G20" s="23">
        <v>3400</v>
      </c>
    </row>
    <row r="21" spans="2:7" x14ac:dyDescent="0.3">
      <c r="B21" s="66">
        <v>431000</v>
      </c>
      <c r="C21" s="21" t="s">
        <v>22</v>
      </c>
      <c r="D21" s="22">
        <v>0</v>
      </c>
      <c r="E21" s="22">
        <v>1800</v>
      </c>
      <c r="F21" s="22">
        <v>0</v>
      </c>
      <c r="G21" s="23">
        <v>2100</v>
      </c>
    </row>
    <row r="22" spans="2:7" x14ac:dyDescent="0.3">
      <c r="B22" s="66">
        <v>447000</v>
      </c>
      <c r="C22" s="21" t="s">
        <v>23</v>
      </c>
      <c r="D22" s="22">
        <v>0</v>
      </c>
      <c r="E22" s="22">
        <v>2600</v>
      </c>
      <c r="F22" s="22">
        <v>0</v>
      </c>
      <c r="G22" s="23">
        <v>3050</v>
      </c>
    </row>
    <row r="23" spans="2:7" x14ac:dyDescent="0.3">
      <c r="B23" s="66">
        <v>445200</v>
      </c>
      <c r="C23" s="21" t="s">
        <v>24</v>
      </c>
      <c r="D23" s="22">
        <v>0</v>
      </c>
      <c r="E23" s="22">
        <v>1900</v>
      </c>
      <c r="F23" s="22">
        <v>0</v>
      </c>
      <c r="G23" s="23">
        <v>2250</v>
      </c>
    </row>
    <row r="24" spans="2:7" x14ac:dyDescent="0.3">
      <c r="B24" s="66">
        <v>571000</v>
      </c>
      <c r="C24" s="21" t="s">
        <v>25</v>
      </c>
      <c r="D24" s="22">
        <v>850</v>
      </c>
      <c r="E24" s="22">
        <v>0</v>
      </c>
      <c r="F24" s="22">
        <v>1100</v>
      </c>
      <c r="G24" s="23">
        <v>0</v>
      </c>
    </row>
    <row r="25" spans="2:7" x14ac:dyDescent="0.3">
      <c r="B25" s="66">
        <v>601000</v>
      </c>
      <c r="C25" s="21" t="s">
        <v>26</v>
      </c>
      <c r="D25" s="22">
        <v>142000</v>
      </c>
      <c r="E25" s="22">
        <v>0</v>
      </c>
      <c r="F25" s="22">
        <v>100800</v>
      </c>
      <c r="G25" s="23">
        <v>0</v>
      </c>
    </row>
    <row r="26" spans="2:7" x14ac:dyDescent="0.3">
      <c r="B26" s="66">
        <v>601000</v>
      </c>
      <c r="C26" s="21" t="s">
        <v>27</v>
      </c>
      <c r="D26" s="22">
        <v>0</v>
      </c>
      <c r="E26" s="22">
        <v>0</v>
      </c>
      <c r="F26" s="22">
        <v>67200</v>
      </c>
      <c r="G26" s="23">
        <v>0</v>
      </c>
    </row>
    <row r="27" spans="2:7" x14ac:dyDescent="0.3">
      <c r="B27" s="66">
        <v>605000</v>
      </c>
      <c r="C27" s="21" t="s">
        <v>28</v>
      </c>
      <c r="D27" s="22">
        <v>3200</v>
      </c>
      <c r="E27" s="22">
        <v>0</v>
      </c>
      <c r="F27" s="22">
        <v>3600</v>
      </c>
      <c r="G27" s="23">
        <v>0</v>
      </c>
    </row>
    <row r="28" spans="2:7" x14ac:dyDescent="0.3">
      <c r="B28" s="66">
        <v>612000</v>
      </c>
      <c r="C28" s="21" t="s">
        <v>29</v>
      </c>
      <c r="D28" s="22">
        <v>0</v>
      </c>
      <c r="E28" s="22">
        <v>0</v>
      </c>
      <c r="F28" s="22">
        <v>1450</v>
      </c>
      <c r="G28" s="23">
        <v>0</v>
      </c>
    </row>
    <row r="29" spans="2:7" x14ac:dyDescent="0.3">
      <c r="B29" s="66">
        <v>611000</v>
      </c>
      <c r="C29" s="21" t="s">
        <v>30</v>
      </c>
      <c r="D29" s="22">
        <v>4100</v>
      </c>
      <c r="E29" s="22">
        <v>0</v>
      </c>
      <c r="F29" s="22">
        <v>4900</v>
      </c>
      <c r="G29" s="23">
        <v>0</v>
      </c>
    </row>
    <row r="30" spans="2:7" x14ac:dyDescent="0.3">
      <c r="B30" s="66">
        <v>613100</v>
      </c>
      <c r="C30" s="21" t="s">
        <v>31</v>
      </c>
      <c r="D30" s="22">
        <v>6000</v>
      </c>
      <c r="E30" s="22">
        <v>0</v>
      </c>
      <c r="F30" s="22">
        <v>0</v>
      </c>
      <c r="G30" s="23">
        <v>6000</v>
      </c>
    </row>
    <row r="31" spans="2:7" x14ac:dyDescent="0.3">
      <c r="B31" s="66">
        <v>622000</v>
      </c>
      <c r="C31" s="21" t="s">
        <v>32</v>
      </c>
      <c r="D31" s="22">
        <v>8400</v>
      </c>
      <c r="E31" s="22">
        <v>0</v>
      </c>
      <c r="F31" s="22">
        <v>12600</v>
      </c>
      <c r="G31" s="23">
        <v>0</v>
      </c>
    </row>
    <row r="32" spans="2:7" x14ac:dyDescent="0.3">
      <c r="B32" s="66">
        <v>628000</v>
      </c>
      <c r="C32" s="21" t="s">
        <v>33</v>
      </c>
      <c r="D32" s="22">
        <v>3600</v>
      </c>
      <c r="E32" s="22">
        <v>0</v>
      </c>
      <c r="F32" s="22">
        <v>4100</v>
      </c>
      <c r="G32" s="23">
        <v>0</v>
      </c>
    </row>
    <row r="33" spans="2:7" x14ac:dyDescent="0.3">
      <c r="B33" s="66">
        <v>641000</v>
      </c>
      <c r="C33" s="21" t="s">
        <v>34</v>
      </c>
      <c r="D33" s="22">
        <v>1900</v>
      </c>
      <c r="E33" s="22">
        <v>0</v>
      </c>
      <c r="F33" s="22">
        <v>2200</v>
      </c>
      <c r="G33" s="23">
        <v>0</v>
      </c>
    </row>
    <row r="34" spans="2:7" x14ac:dyDescent="0.3">
      <c r="B34" s="66">
        <v>661000</v>
      </c>
      <c r="C34" s="21" t="s">
        <v>35</v>
      </c>
      <c r="D34" s="22">
        <v>24500</v>
      </c>
      <c r="E34" s="22">
        <v>0</v>
      </c>
      <c r="F34" s="22">
        <v>27800</v>
      </c>
      <c r="G34" s="23">
        <v>0</v>
      </c>
    </row>
    <row r="35" spans="2:7" x14ac:dyDescent="0.3">
      <c r="B35" s="66">
        <v>664000</v>
      </c>
      <c r="C35" s="21" t="s">
        <v>36</v>
      </c>
      <c r="D35" s="22">
        <v>6200</v>
      </c>
      <c r="E35" s="22">
        <v>0</v>
      </c>
      <c r="F35" s="22">
        <v>7050</v>
      </c>
      <c r="G35" s="23">
        <v>0</v>
      </c>
    </row>
    <row r="36" spans="2:7" x14ac:dyDescent="0.3">
      <c r="B36" s="66">
        <v>681000</v>
      </c>
      <c r="C36" s="21" t="s">
        <v>37</v>
      </c>
      <c r="D36" s="22">
        <v>7100</v>
      </c>
      <c r="E36" s="22">
        <v>0</v>
      </c>
      <c r="F36" s="22">
        <v>9050</v>
      </c>
      <c r="G36" s="23">
        <v>0</v>
      </c>
    </row>
    <row r="37" spans="2:7" x14ac:dyDescent="0.3">
      <c r="B37" s="66">
        <v>671000</v>
      </c>
      <c r="C37" s="21" t="s">
        <v>38</v>
      </c>
      <c r="D37" s="22">
        <v>2900</v>
      </c>
      <c r="E37" s="22">
        <v>0</v>
      </c>
      <c r="F37" s="22">
        <v>2200</v>
      </c>
      <c r="G37" s="23">
        <v>0</v>
      </c>
    </row>
    <row r="38" spans="2:7" x14ac:dyDescent="0.3">
      <c r="B38" s="66">
        <v>891000</v>
      </c>
      <c r="C38" s="21" t="s">
        <v>39</v>
      </c>
      <c r="D38" s="22">
        <v>4100</v>
      </c>
      <c r="E38" s="22">
        <v>0</v>
      </c>
      <c r="F38" s="22">
        <v>5450</v>
      </c>
      <c r="G38" s="23">
        <v>0</v>
      </c>
    </row>
    <row r="39" spans="2:7" x14ac:dyDescent="0.3">
      <c r="B39" s="66">
        <v>701000</v>
      </c>
      <c r="C39" s="21" t="s">
        <v>40</v>
      </c>
      <c r="D39" s="22">
        <v>0</v>
      </c>
      <c r="E39" s="22">
        <v>236000</v>
      </c>
      <c r="F39" s="22">
        <v>0</v>
      </c>
      <c r="G39" s="23">
        <v>279500</v>
      </c>
    </row>
    <row r="40" spans="2:7" x14ac:dyDescent="0.3">
      <c r="B40" s="66">
        <v>758000</v>
      </c>
      <c r="C40" s="21" t="s">
        <v>41</v>
      </c>
      <c r="D40" s="22">
        <v>0</v>
      </c>
      <c r="E40" s="22">
        <v>900</v>
      </c>
      <c r="F40" s="22">
        <v>0</v>
      </c>
      <c r="G40" s="23">
        <v>1150</v>
      </c>
    </row>
    <row r="41" spans="2:7" x14ac:dyDescent="0.3">
      <c r="B41" s="66">
        <v>771000</v>
      </c>
      <c r="C41" s="21" t="s">
        <v>42</v>
      </c>
      <c r="D41" s="22">
        <v>0</v>
      </c>
      <c r="E41" s="22">
        <v>150</v>
      </c>
      <c r="F41" s="22">
        <v>0</v>
      </c>
      <c r="G41" s="23">
        <v>200</v>
      </c>
    </row>
    <row r="42" spans="2:7" x14ac:dyDescent="0.3">
      <c r="B42" s="67">
        <v>521000</v>
      </c>
      <c r="C42" s="24" t="s">
        <v>43</v>
      </c>
      <c r="D42" s="25">
        <v>53200</v>
      </c>
      <c r="E42" s="25">
        <v>0</v>
      </c>
      <c r="F42" s="25">
        <v>56400</v>
      </c>
      <c r="G42" s="26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9CE8-DA4A-48D5-B7BC-48A3BA7C90B6}">
  <sheetPr codeName="Feuil4"/>
  <dimension ref="A1:J4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5" sqref="M15"/>
    </sheetView>
  </sheetViews>
  <sheetFormatPr baseColWidth="10" defaultRowHeight="17.25" x14ac:dyDescent="0.3"/>
  <cols>
    <col min="1" max="1" width="6.85546875" style="1" customWidth="1"/>
    <col min="2" max="2" width="14.7109375" style="1" customWidth="1"/>
    <col min="3" max="3" width="58" style="1" bestFit="1" customWidth="1"/>
    <col min="4" max="4" width="12.85546875" style="1" customWidth="1"/>
    <col min="5" max="5" width="13.7109375" style="1" customWidth="1"/>
    <col min="6" max="7" width="12" style="1" customWidth="1"/>
    <col min="8" max="8" width="14.28515625" style="1" customWidth="1"/>
    <col min="9" max="9" width="13.42578125" style="1" customWidth="1"/>
    <col min="10" max="10" width="12.28515625" style="1" customWidth="1"/>
    <col min="11" max="16384" width="11.42578125" style="1"/>
  </cols>
  <sheetData>
    <row r="1" spans="1:10" x14ac:dyDescent="0.3">
      <c r="A1" s="62" t="s">
        <v>257</v>
      </c>
      <c r="C1" s="92"/>
    </row>
    <row r="3" spans="1:10" ht="27.75" customHeight="1" x14ac:dyDescent="0.3">
      <c r="B3" s="9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54</v>
      </c>
      <c r="I3" s="10" t="s">
        <v>55</v>
      </c>
      <c r="J3" s="11" t="s">
        <v>53</v>
      </c>
    </row>
    <row r="4" spans="1:10" x14ac:dyDescent="0.3">
      <c r="B4" s="15">
        <v>101000</v>
      </c>
      <c r="C4" s="2" t="s">
        <v>6</v>
      </c>
      <c r="D4" s="3">
        <v>0</v>
      </c>
      <c r="E4" s="3">
        <v>50000</v>
      </c>
      <c r="F4" s="3">
        <v>0</v>
      </c>
      <c r="G4" s="3">
        <v>50000</v>
      </c>
      <c r="H4" s="3">
        <f>D4-E4</f>
        <v>-50000</v>
      </c>
      <c r="I4" s="3">
        <f>F4-G4</f>
        <v>-50000</v>
      </c>
      <c r="J4" s="8" t="b">
        <f>$H4*$I4&gt;0</f>
        <v>1</v>
      </c>
    </row>
    <row r="5" spans="1:10" x14ac:dyDescent="0.3">
      <c r="B5" s="15">
        <v>106000</v>
      </c>
      <c r="C5" s="2" t="s">
        <v>7</v>
      </c>
      <c r="D5" s="3">
        <v>0</v>
      </c>
      <c r="E5" s="3">
        <v>18000</v>
      </c>
      <c r="F5" s="3">
        <v>0</v>
      </c>
      <c r="G5" s="3">
        <v>24500</v>
      </c>
      <c r="H5" s="3">
        <f t="shared" ref="H5:H41" si="0">D5-E5</f>
        <v>-18000</v>
      </c>
      <c r="I5" s="3">
        <f t="shared" ref="I5:I41" si="1">F5-G5</f>
        <v>-24500</v>
      </c>
      <c r="J5" s="8" t="b">
        <f t="shared" ref="J5:J41" si="2">$H5*$I5&gt;0</f>
        <v>1</v>
      </c>
    </row>
    <row r="6" spans="1:10" x14ac:dyDescent="0.3">
      <c r="B6" s="15">
        <v>110000</v>
      </c>
      <c r="C6" s="2" t="s">
        <v>8</v>
      </c>
      <c r="D6" s="3">
        <v>0</v>
      </c>
      <c r="E6" s="3">
        <v>4200</v>
      </c>
      <c r="F6" s="3">
        <v>0</v>
      </c>
      <c r="G6" s="3">
        <v>4200</v>
      </c>
      <c r="H6" s="3">
        <f t="shared" si="0"/>
        <v>-4200</v>
      </c>
      <c r="I6" s="3">
        <f t="shared" si="1"/>
        <v>-4200</v>
      </c>
      <c r="J6" s="8" t="b">
        <f t="shared" si="2"/>
        <v>1</v>
      </c>
    </row>
    <row r="7" spans="1:10" x14ac:dyDescent="0.3">
      <c r="B7" s="15">
        <v>162000</v>
      </c>
      <c r="C7" s="2" t="s">
        <v>9</v>
      </c>
      <c r="D7" s="3">
        <v>0</v>
      </c>
      <c r="E7" s="3">
        <v>32000</v>
      </c>
      <c r="F7" s="3">
        <v>0</v>
      </c>
      <c r="G7" s="3">
        <v>24000</v>
      </c>
      <c r="H7" s="3">
        <f t="shared" si="0"/>
        <v>-32000</v>
      </c>
      <c r="I7" s="3">
        <f t="shared" si="1"/>
        <v>-24000</v>
      </c>
      <c r="J7" s="8" t="b">
        <f t="shared" si="2"/>
        <v>1</v>
      </c>
    </row>
    <row r="8" spans="1:10" x14ac:dyDescent="0.3">
      <c r="B8" s="15">
        <v>213000</v>
      </c>
      <c r="C8" s="2" t="s">
        <v>10</v>
      </c>
      <c r="D8" s="3">
        <v>3200</v>
      </c>
      <c r="E8" s="3">
        <v>0</v>
      </c>
      <c r="F8" s="3">
        <v>4600</v>
      </c>
      <c r="G8" s="3">
        <v>0</v>
      </c>
      <c r="H8" s="3">
        <f t="shared" si="0"/>
        <v>3200</v>
      </c>
      <c r="I8" s="3">
        <f t="shared" si="1"/>
        <v>4600</v>
      </c>
      <c r="J8" s="8" t="b">
        <f t="shared" si="2"/>
        <v>1</v>
      </c>
    </row>
    <row r="9" spans="1:10" x14ac:dyDescent="0.3">
      <c r="B9" s="15">
        <v>231000</v>
      </c>
      <c r="C9" s="2" t="s">
        <v>11</v>
      </c>
      <c r="D9" s="3">
        <v>45000</v>
      </c>
      <c r="E9" s="3">
        <v>0</v>
      </c>
      <c r="F9" s="3">
        <v>45000</v>
      </c>
      <c r="G9" s="3">
        <v>0</v>
      </c>
      <c r="H9" s="3">
        <f t="shared" si="0"/>
        <v>45000</v>
      </c>
      <c r="I9" s="3">
        <f t="shared" si="1"/>
        <v>45000</v>
      </c>
      <c r="J9" s="8" t="b">
        <f t="shared" si="2"/>
        <v>1</v>
      </c>
    </row>
    <row r="10" spans="1:10" x14ac:dyDescent="0.3">
      <c r="B10" s="15">
        <v>244000</v>
      </c>
      <c r="C10" s="2" t="s">
        <v>12</v>
      </c>
      <c r="D10" s="3">
        <v>12800</v>
      </c>
      <c r="E10" s="3">
        <v>0</v>
      </c>
      <c r="F10" s="3">
        <v>15200</v>
      </c>
      <c r="G10" s="3">
        <v>0</v>
      </c>
      <c r="H10" s="3">
        <f t="shared" si="0"/>
        <v>12800</v>
      </c>
      <c r="I10" s="3">
        <f t="shared" si="1"/>
        <v>15200</v>
      </c>
      <c r="J10" s="8" t="b">
        <f t="shared" si="2"/>
        <v>1</v>
      </c>
    </row>
    <row r="11" spans="1:10" x14ac:dyDescent="0.3">
      <c r="B11" s="15">
        <v>245000</v>
      </c>
      <c r="C11" s="2" t="s">
        <v>13</v>
      </c>
      <c r="D11" s="3">
        <v>21000</v>
      </c>
      <c r="E11" s="3">
        <v>0</v>
      </c>
      <c r="F11" s="3">
        <v>21000</v>
      </c>
      <c r="G11" s="3">
        <v>0</v>
      </c>
      <c r="H11" s="3">
        <f t="shared" si="0"/>
        <v>21000</v>
      </c>
      <c r="I11" s="3">
        <f t="shared" si="1"/>
        <v>21000</v>
      </c>
      <c r="J11" s="8" t="b">
        <f t="shared" si="2"/>
        <v>1</v>
      </c>
    </row>
    <row r="12" spans="1:10" x14ac:dyDescent="0.3">
      <c r="B12" s="15">
        <v>281300</v>
      </c>
      <c r="C12" s="2" t="s">
        <v>14</v>
      </c>
      <c r="D12" s="3">
        <v>0</v>
      </c>
      <c r="E12" s="3">
        <v>1600</v>
      </c>
      <c r="F12" s="3">
        <v>0</v>
      </c>
      <c r="G12" s="3">
        <v>2400</v>
      </c>
      <c r="H12" s="3">
        <f t="shared" si="0"/>
        <v>-1600</v>
      </c>
      <c r="I12" s="3">
        <f t="shared" si="1"/>
        <v>-2400</v>
      </c>
      <c r="J12" s="8" t="b">
        <f t="shared" si="2"/>
        <v>1</v>
      </c>
    </row>
    <row r="13" spans="1:10" x14ac:dyDescent="0.3">
      <c r="B13" s="15">
        <v>283100</v>
      </c>
      <c r="C13" s="2" t="s">
        <v>15</v>
      </c>
      <c r="D13" s="3">
        <v>0</v>
      </c>
      <c r="E13" s="3">
        <v>9000</v>
      </c>
      <c r="F13" s="3">
        <v>0</v>
      </c>
      <c r="G13" s="3">
        <v>11250</v>
      </c>
      <c r="H13" s="3">
        <f t="shared" si="0"/>
        <v>-9000</v>
      </c>
      <c r="I13" s="3">
        <f t="shared" si="1"/>
        <v>-11250</v>
      </c>
      <c r="J13" s="8" t="b">
        <f t="shared" si="2"/>
        <v>1</v>
      </c>
    </row>
    <row r="14" spans="1:10" x14ac:dyDescent="0.3">
      <c r="B14" s="15">
        <v>284400</v>
      </c>
      <c r="C14" s="2" t="s">
        <v>16</v>
      </c>
      <c r="D14" s="3">
        <v>0</v>
      </c>
      <c r="E14" s="3">
        <v>6400</v>
      </c>
      <c r="F14" s="3">
        <v>0</v>
      </c>
      <c r="G14" s="3">
        <v>8200</v>
      </c>
      <c r="H14" s="3">
        <f t="shared" si="0"/>
        <v>-6400</v>
      </c>
      <c r="I14" s="3">
        <f t="shared" si="1"/>
        <v>-8200</v>
      </c>
      <c r="J14" s="8" t="b">
        <f t="shared" si="2"/>
        <v>1</v>
      </c>
    </row>
    <row r="15" spans="1:10" x14ac:dyDescent="0.3">
      <c r="B15" s="15">
        <v>284500</v>
      </c>
      <c r="C15" s="2" t="s">
        <v>17</v>
      </c>
      <c r="D15" s="3">
        <v>0</v>
      </c>
      <c r="E15" s="3">
        <v>8400</v>
      </c>
      <c r="F15" s="3">
        <v>0</v>
      </c>
      <c r="G15" s="3">
        <v>12600</v>
      </c>
      <c r="H15" s="3">
        <f t="shared" si="0"/>
        <v>-8400</v>
      </c>
      <c r="I15" s="3">
        <f t="shared" si="1"/>
        <v>-12600</v>
      </c>
      <c r="J15" s="8" t="b">
        <f t="shared" si="2"/>
        <v>1</v>
      </c>
    </row>
    <row r="16" spans="1:10" x14ac:dyDescent="0.3">
      <c r="B16" s="15">
        <v>311000</v>
      </c>
      <c r="C16" s="2" t="s">
        <v>18</v>
      </c>
      <c r="D16" s="3">
        <v>18500</v>
      </c>
      <c r="E16" s="3">
        <v>0</v>
      </c>
      <c r="F16" s="3">
        <v>22300</v>
      </c>
      <c r="G16" s="3">
        <v>0</v>
      </c>
      <c r="H16" s="3">
        <f t="shared" si="0"/>
        <v>18500</v>
      </c>
      <c r="I16" s="3">
        <f t="shared" si="1"/>
        <v>22300</v>
      </c>
      <c r="J16" s="8" t="b">
        <f t="shared" si="2"/>
        <v>1</v>
      </c>
    </row>
    <row r="17" spans="2:10" x14ac:dyDescent="0.3">
      <c r="B17" s="15">
        <v>401000</v>
      </c>
      <c r="C17" s="2" t="s">
        <v>19</v>
      </c>
      <c r="D17" s="3">
        <v>0</v>
      </c>
      <c r="E17" s="3">
        <v>21400</v>
      </c>
      <c r="F17" s="3">
        <v>0</v>
      </c>
      <c r="G17" s="3">
        <v>26800</v>
      </c>
      <c r="H17" s="3">
        <f t="shared" si="0"/>
        <v>-21400</v>
      </c>
      <c r="I17" s="3">
        <f t="shared" si="1"/>
        <v>-26800</v>
      </c>
      <c r="J17" s="8" t="b">
        <f t="shared" si="2"/>
        <v>1</v>
      </c>
    </row>
    <row r="18" spans="2:10" x14ac:dyDescent="0.3">
      <c r="B18" s="15">
        <v>411000</v>
      </c>
      <c r="C18" s="2" t="s">
        <v>20</v>
      </c>
      <c r="D18" s="3">
        <v>28900</v>
      </c>
      <c r="E18" s="3">
        <v>0</v>
      </c>
      <c r="F18" s="3">
        <v>35600</v>
      </c>
      <c r="G18" s="3">
        <v>0</v>
      </c>
      <c r="H18" s="3">
        <f t="shared" si="0"/>
        <v>28900</v>
      </c>
      <c r="I18" s="3">
        <f t="shared" si="1"/>
        <v>35600</v>
      </c>
      <c r="J18" s="8" t="b">
        <f t="shared" si="2"/>
        <v>1</v>
      </c>
    </row>
    <row r="19" spans="2:10" x14ac:dyDescent="0.3">
      <c r="B19" s="15">
        <v>422000</v>
      </c>
      <c r="C19" s="2" t="s">
        <v>21</v>
      </c>
      <c r="D19" s="3">
        <v>0</v>
      </c>
      <c r="E19" s="3">
        <v>3100</v>
      </c>
      <c r="F19" s="3">
        <v>0</v>
      </c>
      <c r="G19" s="3">
        <v>3400</v>
      </c>
      <c r="H19" s="3">
        <f t="shared" si="0"/>
        <v>-3100</v>
      </c>
      <c r="I19" s="3">
        <f t="shared" si="1"/>
        <v>-3400</v>
      </c>
      <c r="J19" s="8" t="b">
        <f t="shared" si="2"/>
        <v>1</v>
      </c>
    </row>
    <row r="20" spans="2:10" x14ac:dyDescent="0.3">
      <c r="B20" s="15">
        <v>431000</v>
      </c>
      <c r="C20" s="2" t="s">
        <v>22</v>
      </c>
      <c r="D20" s="3">
        <v>0</v>
      </c>
      <c r="E20" s="3">
        <v>1800</v>
      </c>
      <c r="F20" s="3">
        <v>0</v>
      </c>
      <c r="G20" s="3">
        <v>2100</v>
      </c>
      <c r="H20" s="3">
        <f t="shared" si="0"/>
        <v>-1800</v>
      </c>
      <c r="I20" s="3">
        <f t="shared" si="1"/>
        <v>-2100</v>
      </c>
      <c r="J20" s="8" t="b">
        <f t="shared" si="2"/>
        <v>1</v>
      </c>
    </row>
    <row r="21" spans="2:10" x14ac:dyDescent="0.3">
      <c r="B21" s="15">
        <v>447000</v>
      </c>
      <c r="C21" s="2" t="s">
        <v>23</v>
      </c>
      <c r="D21" s="3">
        <v>0</v>
      </c>
      <c r="E21" s="3">
        <v>2600</v>
      </c>
      <c r="F21" s="3">
        <v>0</v>
      </c>
      <c r="G21" s="3">
        <v>3050</v>
      </c>
      <c r="H21" s="3">
        <f t="shared" si="0"/>
        <v>-2600</v>
      </c>
      <c r="I21" s="3">
        <f t="shared" si="1"/>
        <v>-3050</v>
      </c>
      <c r="J21" s="8" t="b">
        <f t="shared" si="2"/>
        <v>1</v>
      </c>
    </row>
    <row r="22" spans="2:10" x14ac:dyDescent="0.3">
      <c r="B22" s="15">
        <v>445200</v>
      </c>
      <c r="C22" s="2" t="s">
        <v>24</v>
      </c>
      <c r="D22" s="3">
        <v>0</v>
      </c>
      <c r="E22" s="3">
        <v>1900</v>
      </c>
      <c r="F22" s="3">
        <v>0</v>
      </c>
      <c r="G22" s="3">
        <v>2250</v>
      </c>
      <c r="H22" s="3">
        <f t="shared" si="0"/>
        <v>-1900</v>
      </c>
      <c r="I22" s="3">
        <f t="shared" si="1"/>
        <v>-2250</v>
      </c>
      <c r="J22" s="8" t="b">
        <f t="shared" si="2"/>
        <v>1</v>
      </c>
    </row>
    <row r="23" spans="2:10" x14ac:dyDescent="0.3">
      <c r="B23" s="15">
        <v>571000</v>
      </c>
      <c r="C23" s="2" t="s">
        <v>25</v>
      </c>
      <c r="D23" s="3">
        <v>850</v>
      </c>
      <c r="E23" s="3">
        <v>0</v>
      </c>
      <c r="F23" s="3">
        <v>1100</v>
      </c>
      <c r="G23" s="3">
        <v>0</v>
      </c>
      <c r="H23" s="3">
        <f t="shared" si="0"/>
        <v>850</v>
      </c>
      <c r="I23" s="3">
        <f t="shared" si="1"/>
        <v>1100</v>
      </c>
      <c r="J23" s="8" t="b">
        <f t="shared" si="2"/>
        <v>1</v>
      </c>
    </row>
    <row r="24" spans="2:10" x14ac:dyDescent="0.3">
      <c r="B24" s="15">
        <v>601000</v>
      </c>
      <c r="C24" s="2" t="s">
        <v>26</v>
      </c>
      <c r="D24" s="3">
        <v>142000</v>
      </c>
      <c r="E24" s="3">
        <v>0</v>
      </c>
      <c r="F24" s="3">
        <v>100800</v>
      </c>
      <c r="G24" s="3">
        <v>0</v>
      </c>
      <c r="H24" s="3">
        <f t="shared" si="0"/>
        <v>142000</v>
      </c>
      <c r="I24" s="3">
        <f t="shared" si="1"/>
        <v>100800</v>
      </c>
      <c r="J24" s="8" t="b">
        <f t="shared" si="2"/>
        <v>1</v>
      </c>
    </row>
    <row r="25" spans="2:10" x14ac:dyDescent="0.3">
      <c r="B25" s="15">
        <v>601000</v>
      </c>
      <c r="C25" s="2" t="s">
        <v>27</v>
      </c>
      <c r="D25" s="3">
        <v>0</v>
      </c>
      <c r="E25" s="3">
        <v>0</v>
      </c>
      <c r="F25" s="3">
        <v>67200</v>
      </c>
      <c r="G25" s="3">
        <v>0</v>
      </c>
      <c r="H25" s="3">
        <f t="shared" si="0"/>
        <v>0</v>
      </c>
      <c r="I25" s="3">
        <f t="shared" si="1"/>
        <v>67200</v>
      </c>
      <c r="J25" s="8" t="b">
        <f t="shared" si="2"/>
        <v>0</v>
      </c>
    </row>
    <row r="26" spans="2:10" x14ac:dyDescent="0.3">
      <c r="B26" s="15">
        <v>605000</v>
      </c>
      <c r="C26" s="2" t="s">
        <v>28</v>
      </c>
      <c r="D26" s="3">
        <v>3200</v>
      </c>
      <c r="E26" s="3">
        <v>0</v>
      </c>
      <c r="F26" s="3">
        <v>3600</v>
      </c>
      <c r="G26" s="3">
        <v>0</v>
      </c>
      <c r="H26" s="3">
        <f t="shared" si="0"/>
        <v>3200</v>
      </c>
      <c r="I26" s="3">
        <f t="shared" si="1"/>
        <v>3600</v>
      </c>
      <c r="J26" s="8" t="b">
        <f t="shared" si="2"/>
        <v>1</v>
      </c>
    </row>
    <row r="27" spans="2:10" x14ac:dyDescent="0.3">
      <c r="B27" s="15">
        <v>612000</v>
      </c>
      <c r="C27" s="2" t="s">
        <v>29</v>
      </c>
      <c r="D27" s="3">
        <v>0</v>
      </c>
      <c r="E27" s="3">
        <v>0</v>
      </c>
      <c r="F27" s="3">
        <v>1450</v>
      </c>
      <c r="G27" s="3">
        <v>0</v>
      </c>
      <c r="H27" s="3">
        <f t="shared" si="0"/>
        <v>0</v>
      </c>
      <c r="I27" s="3">
        <f t="shared" si="1"/>
        <v>1450</v>
      </c>
      <c r="J27" s="8" t="b">
        <f t="shared" si="2"/>
        <v>0</v>
      </c>
    </row>
    <row r="28" spans="2:10" x14ac:dyDescent="0.3">
      <c r="B28" s="15">
        <v>611000</v>
      </c>
      <c r="C28" s="2" t="s">
        <v>30</v>
      </c>
      <c r="D28" s="3">
        <v>4100</v>
      </c>
      <c r="E28" s="3">
        <v>0</v>
      </c>
      <c r="F28" s="3">
        <v>4900</v>
      </c>
      <c r="G28" s="3">
        <v>0</v>
      </c>
      <c r="H28" s="3">
        <f t="shared" si="0"/>
        <v>4100</v>
      </c>
      <c r="I28" s="3">
        <f t="shared" si="1"/>
        <v>4900</v>
      </c>
      <c r="J28" s="8" t="b">
        <f t="shared" si="2"/>
        <v>1</v>
      </c>
    </row>
    <row r="29" spans="2:10" x14ac:dyDescent="0.3">
      <c r="B29" s="15">
        <v>613100</v>
      </c>
      <c r="C29" s="2" t="s">
        <v>31</v>
      </c>
      <c r="D29" s="3">
        <v>6000</v>
      </c>
      <c r="E29" s="3">
        <v>0</v>
      </c>
      <c r="F29" s="3">
        <v>0</v>
      </c>
      <c r="G29" s="3">
        <v>6000</v>
      </c>
      <c r="H29" s="3">
        <f t="shared" si="0"/>
        <v>6000</v>
      </c>
      <c r="I29" s="3">
        <f t="shared" si="1"/>
        <v>-6000</v>
      </c>
      <c r="J29" s="8" t="b">
        <f t="shared" si="2"/>
        <v>0</v>
      </c>
    </row>
    <row r="30" spans="2:10" x14ac:dyDescent="0.3">
      <c r="B30" s="15">
        <v>622000</v>
      </c>
      <c r="C30" s="2" t="s">
        <v>32</v>
      </c>
      <c r="D30" s="3">
        <v>8400</v>
      </c>
      <c r="E30" s="3">
        <v>0</v>
      </c>
      <c r="F30" s="3">
        <v>12600</v>
      </c>
      <c r="G30" s="3">
        <v>0</v>
      </c>
      <c r="H30" s="3">
        <f t="shared" si="0"/>
        <v>8400</v>
      </c>
      <c r="I30" s="3">
        <f t="shared" si="1"/>
        <v>12600</v>
      </c>
      <c r="J30" s="8" t="b">
        <f t="shared" si="2"/>
        <v>1</v>
      </c>
    </row>
    <row r="31" spans="2:10" x14ac:dyDescent="0.3">
      <c r="B31" s="15">
        <v>628000</v>
      </c>
      <c r="C31" s="2" t="s">
        <v>33</v>
      </c>
      <c r="D31" s="3">
        <v>3600</v>
      </c>
      <c r="E31" s="3">
        <v>0</v>
      </c>
      <c r="F31" s="3">
        <v>4100</v>
      </c>
      <c r="G31" s="3">
        <v>0</v>
      </c>
      <c r="H31" s="3">
        <f t="shared" si="0"/>
        <v>3600</v>
      </c>
      <c r="I31" s="3">
        <f t="shared" si="1"/>
        <v>4100</v>
      </c>
      <c r="J31" s="8" t="b">
        <f t="shared" si="2"/>
        <v>1</v>
      </c>
    </row>
    <row r="32" spans="2:10" x14ac:dyDescent="0.3">
      <c r="B32" s="15">
        <v>641000</v>
      </c>
      <c r="C32" s="2" t="s">
        <v>34</v>
      </c>
      <c r="D32" s="3">
        <v>1900</v>
      </c>
      <c r="E32" s="3">
        <v>0</v>
      </c>
      <c r="F32" s="3">
        <v>2200</v>
      </c>
      <c r="G32" s="3">
        <v>0</v>
      </c>
      <c r="H32" s="3">
        <f t="shared" si="0"/>
        <v>1900</v>
      </c>
      <c r="I32" s="3">
        <f t="shared" si="1"/>
        <v>2200</v>
      </c>
      <c r="J32" s="8" t="b">
        <f t="shared" si="2"/>
        <v>1</v>
      </c>
    </row>
    <row r="33" spans="2:10" x14ac:dyDescent="0.3">
      <c r="B33" s="15">
        <v>661000</v>
      </c>
      <c r="C33" s="2" t="s">
        <v>35</v>
      </c>
      <c r="D33" s="3">
        <v>24500</v>
      </c>
      <c r="E33" s="3">
        <v>0</v>
      </c>
      <c r="F33" s="3">
        <v>27800</v>
      </c>
      <c r="G33" s="3">
        <v>0</v>
      </c>
      <c r="H33" s="3">
        <f t="shared" si="0"/>
        <v>24500</v>
      </c>
      <c r="I33" s="3">
        <f t="shared" si="1"/>
        <v>27800</v>
      </c>
      <c r="J33" s="8" t="b">
        <f t="shared" si="2"/>
        <v>1</v>
      </c>
    </row>
    <row r="34" spans="2:10" x14ac:dyDescent="0.3">
      <c r="B34" s="15">
        <v>664000</v>
      </c>
      <c r="C34" s="2" t="s">
        <v>36</v>
      </c>
      <c r="D34" s="3">
        <v>6200</v>
      </c>
      <c r="E34" s="3">
        <v>0</v>
      </c>
      <c r="F34" s="3">
        <v>7050</v>
      </c>
      <c r="G34" s="3">
        <v>0</v>
      </c>
      <c r="H34" s="3">
        <f t="shared" si="0"/>
        <v>6200</v>
      </c>
      <c r="I34" s="3">
        <f t="shared" si="1"/>
        <v>7050</v>
      </c>
      <c r="J34" s="8" t="b">
        <f t="shared" si="2"/>
        <v>1</v>
      </c>
    </row>
    <row r="35" spans="2:10" x14ac:dyDescent="0.3">
      <c r="B35" s="15">
        <v>681000</v>
      </c>
      <c r="C35" s="2" t="s">
        <v>37</v>
      </c>
      <c r="D35" s="3">
        <v>7100</v>
      </c>
      <c r="E35" s="3">
        <v>0</v>
      </c>
      <c r="F35" s="3">
        <v>9050</v>
      </c>
      <c r="G35" s="3">
        <v>0</v>
      </c>
      <c r="H35" s="3">
        <f t="shared" si="0"/>
        <v>7100</v>
      </c>
      <c r="I35" s="3">
        <f t="shared" si="1"/>
        <v>9050</v>
      </c>
      <c r="J35" s="8" t="b">
        <f t="shared" si="2"/>
        <v>1</v>
      </c>
    </row>
    <row r="36" spans="2:10" x14ac:dyDescent="0.3">
      <c r="B36" s="15">
        <v>671000</v>
      </c>
      <c r="C36" s="2" t="s">
        <v>38</v>
      </c>
      <c r="D36" s="3">
        <v>2900</v>
      </c>
      <c r="E36" s="3">
        <v>0</v>
      </c>
      <c r="F36" s="3">
        <v>2200</v>
      </c>
      <c r="G36" s="3">
        <v>0</v>
      </c>
      <c r="H36" s="3">
        <f t="shared" si="0"/>
        <v>2900</v>
      </c>
      <c r="I36" s="3">
        <f t="shared" si="1"/>
        <v>2200</v>
      </c>
      <c r="J36" s="8" t="b">
        <f t="shared" si="2"/>
        <v>1</v>
      </c>
    </row>
    <row r="37" spans="2:10" x14ac:dyDescent="0.3">
      <c r="B37" s="15">
        <v>891000</v>
      </c>
      <c r="C37" s="2" t="s">
        <v>39</v>
      </c>
      <c r="D37" s="3">
        <v>4100</v>
      </c>
      <c r="E37" s="3">
        <v>0</v>
      </c>
      <c r="F37" s="3">
        <v>5450</v>
      </c>
      <c r="G37" s="3">
        <v>0</v>
      </c>
      <c r="H37" s="3">
        <f t="shared" si="0"/>
        <v>4100</v>
      </c>
      <c r="I37" s="3">
        <f t="shared" si="1"/>
        <v>5450</v>
      </c>
      <c r="J37" s="8" t="b">
        <f t="shared" si="2"/>
        <v>1</v>
      </c>
    </row>
    <row r="38" spans="2:10" x14ac:dyDescent="0.3">
      <c r="B38" s="15">
        <v>701000</v>
      </c>
      <c r="C38" s="2" t="s">
        <v>40</v>
      </c>
      <c r="D38" s="3">
        <v>0</v>
      </c>
      <c r="E38" s="3">
        <v>236000</v>
      </c>
      <c r="F38" s="3">
        <v>0</v>
      </c>
      <c r="G38" s="3">
        <v>279500</v>
      </c>
      <c r="H38" s="3">
        <f t="shared" si="0"/>
        <v>-236000</v>
      </c>
      <c r="I38" s="3">
        <f t="shared" si="1"/>
        <v>-279500</v>
      </c>
      <c r="J38" s="8" t="b">
        <f t="shared" si="2"/>
        <v>1</v>
      </c>
    </row>
    <row r="39" spans="2:10" x14ac:dyDescent="0.3">
      <c r="B39" s="15">
        <v>758000</v>
      </c>
      <c r="C39" s="2" t="s">
        <v>41</v>
      </c>
      <c r="D39" s="3">
        <v>0</v>
      </c>
      <c r="E39" s="3">
        <v>900</v>
      </c>
      <c r="F39" s="3">
        <v>0</v>
      </c>
      <c r="G39" s="3">
        <v>1150</v>
      </c>
      <c r="H39" s="3">
        <f t="shared" si="0"/>
        <v>-900</v>
      </c>
      <c r="I39" s="3">
        <f t="shared" si="1"/>
        <v>-1150</v>
      </c>
      <c r="J39" s="8" t="b">
        <f t="shared" si="2"/>
        <v>1</v>
      </c>
    </row>
    <row r="40" spans="2:10" x14ac:dyDescent="0.3">
      <c r="B40" s="15">
        <v>771000</v>
      </c>
      <c r="C40" s="2" t="s">
        <v>42</v>
      </c>
      <c r="D40" s="3">
        <v>0</v>
      </c>
      <c r="E40" s="3">
        <v>150</v>
      </c>
      <c r="F40" s="3">
        <v>0</v>
      </c>
      <c r="G40" s="3">
        <v>200</v>
      </c>
      <c r="H40" s="3">
        <f t="shared" si="0"/>
        <v>-150</v>
      </c>
      <c r="I40" s="3">
        <f t="shared" si="1"/>
        <v>-200</v>
      </c>
      <c r="J40" s="8" t="b">
        <f t="shared" si="2"/>
        <v>1</v>
      </c>
    </row>
    <row r="41" spans="2:10" x14ac:dyDescent="0.3">
      <c r="B41" s="16">
        <v>521000</v>
      </c>
      <c r="C41" s="12" t="s">
        <v>43</v>
      </c>
      <c r="D41" s="13">
        <v>53200</v>
      </c>
      <c r="E41" s="13">
        <v>0</v>
      </c>
      <c r="F41" s="13">
        <v>56400</v>
      </c>
      <c r="G41" s="13">
        <v>0</v>
      </c>
      <c r="H41" s="13">
        <f t="shared" si="0"/>
        <v>53200</v>
      </c>
      <c r="I41" s="13">
        <f t="shared" si="1"/>
        <v>56400</v>
      </c>
      <c r="J41" s="14" t="b">
        <f t="shared" si="2"/>
        <v>1</v>
      </c>
    </row>
    <row r="43" spans="2:10" x14ac:dyDescent="0.3">
      <c r="C43" s="7" t="s">
        <v>59</v>
      </c>
      <c r="D43" s="4">
        <f>SUM(D4:D42)</f>
        <v>397450</v>
      </c>
      <c r="E43" s="4">
        <f t="shared" ref="E43:G43" si="3">SUM(E4:E42)</f>
        <v>397450</v>
      </c>
      <c r="F43" s="4">
        <f t="shared" si="3"/>
        <v>449600</v>
      </c>
      <c r="G43" s="4">
        <f t="shared" si="3"/>
        <v>461600</v>
      </c>
      <c r="I43" s="6" t="s">
        <v>56</v>
      </c>
    </row>
    <row r="44" spans="2:10" x14ac:dyDescent="0.3">
      <c r="C44" s="7" t="s">
        <v>44</v>
      </c>
      <c r="E44" s="4">
        <f>D43-E43</f>
        <v>0</v>
      </c>
      <c r="F44" s="4"/>
      <c r="G44" s="4">
        <f t="shared" ref="G44" si="4">F43-G43</f>
        <v>-12000</v>
      </c>
    </row>
    <row r="45" spans="2:10" x14ac:dyDescent="0.3">
      <c r="J45" s="5"/>
    </row>
  </sheetData>
  <conditionalFormatting sqref="E44 G44">
    <cfRule type="cellIs" dxfId="20" priority="5" operator="equal">
      <formula>0</formula>
    </cfRule>
    <cfRule type="cellIs" dxfId="19" priority="6" operator="notEqual">
      <formula>0</formula>
    </cfRule>
  </conditionalFormatting>
  <conditionalFormatting sqref="J4:J41">
    <cfRule type="containsText" dxfId="18" priority="1" operator="containsText" text="FAUX">
      <formula>NOT(ISERROR(SEARCH("FAUX",J4)))</formula>
    </cfRule>
    <cfRule type="containsText" dxfId="17" priority="2" operator="containsText" text="VRAI">
      <formula>NOT(ISERROR(SEARCH("VRAI",J4)))</formula>
    </cfRule>
  </conditionalFormatting>
  <hyperlinks>
    <hyperlink ref="I43" location="Anormalies!A1" tooltip="Cliquer pour voir la documentation" display="⚠️ 3 anormalies identifiées, nettoyées et documentées : Voir dans l'onglet Anormalies" xr:uid="{0E28C102-8340-4AAC-9A09-0C912C408BA2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0F78-7607-46CB-9E83-4D8F96139813}">
  <sheetPr codeName="Feuil3"/>
  <dimension ref="A1:F6"/>
  <sheetViews>
    <sheetView showGridLines="0" tabSelected="1" topLeftCell="D1" workbookViewId="0">
      <selection activeCell="G6" sqref="G6"/>
    </sheetView>
  </sheetViews>
  <sheetFormatPr baseColWidth="10" defaultRowHeight="17.25" x14ac:dyDescent="0.3"/>
  <cols>
    <col min="1" max="1" width="7.85546875" style="27" customWidth="1"/>
    <col min="2" max="2" width="26" style="27" bestFit="1" customWidth="1"/>
    <col min="3" max="3" width="49.5703125" style="27" customWidth="1"/>
    <col min="4" max="4" width="56.7109375" style="27" customWidth="1"/>
    <col min="5" max="5" width="52.28515625" style="27" customWidth="1"/>
    <col min="6" max="6" width="29.7109375" style="27" customWidth="1"/>
    <col min="7" max="16384" width="11.42578125" style="27"/>
  </cols>
  <sheetData>
    <row r="1" spans="1:6" ht="21" customHeight="1" x14ac:dyDescent="0.3">
      <c r="A1" s="62" t="s">
        <v>51</v>
      </c>
      <c r="B1" s="62"/>
      <c r="C1" s="62"/>
    </row>
    <row r="3" spans="1:6" ht="27" customHeight="1" x14ac:dyDescent="0.3">
      <c r="A3" s="63" t="s">
        <v>45</v>
      </c>
      <c r="B3" s="63" t="s">
        <v>46</v>
      </c>
      <c r="C3" s="63" t="s">
        <v>47</v>
      </c>
      <c r="D3" s="63" t="s">
        <v>48</v>
      </c>
      <c r="E3" s="63" t="s">
        <v>49</v>
      </c>
      <c r="F3" s="63" t="s">
        <v>50</v>
      </c>
    </row>
    <row r="4" spans="1:6" ht="69" x14ac:dyDescent="0.3">
      <c r="A4" s="64">
        <v>1</v>
      </c>
      <c r="B4" s="65" t="s">
        <v>52</v>
      </c>
      <c r="C4" s="65" t="s">
        <v>269</v>
      </c>
      <c r="D4" s="65" t="s">
        <v>267</v>
      </c>
      <c r="E4" s="65" t="s">
        <v>268</v>
      </c>
      <c r="F4" s="86" t="s">
        <v>254</v>
      </c>
    </row>
    <row r="5" spans="1:6" ht="69" x14ac:dyDescent="0.3">
      <c r="A5" s="64">
        <v>2</v>
      </c>
      <c r="B5" s="65" t="s">
        <v>57</v>
      </c>
      <c r="C5" s="65" t="s">
        <v>270</v>
      </c>
      <c r="D5" s="65" t="s">
        <v>271</v>
      </c>
      <c r="E5" s="65" t="s">
        <v>272</v>
      </c>
      <c r="F5" s="86" t="s">
        <v>254</v>
      </c>
    </row>
    <row r="6" spans="1:6" ht="69" x14ac:dyDescent="0.3">
      <c r="A6" s="64">
        <v>3</v>
      </c>
      <c r="B6" s="65" t="s">
        <v>58</v>
      </c>
      <c r="C6" s="65" t="s">
        <v>273</v>
      </c>
      <c r="D6" s="65" t="s">
        <v>274</v>
      </c>
      <c r="E6" s="65" t="s">
        <v>275</v>
      </c>
      <c r="F6" s="86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B291-74D3-4FAF-939F-EEAA8202CB59}">
  <sheetPr codeName="Feuil5"/>
  <dimension ref="A1:E41"/>
  <sheetViews>
    <sheetView showGridLines="0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H10" sqref="H10"/>
    </sheetView>
  </sheetViews>
  <sheetFormatPr baseColWidth="10" defaultRowHeight="17.25" x14ac:dyDescent="0.3"/>
  <cols>
    <col min="1" max="1" width="6.85546875" style="27" customWidth="1"/>
    <col min="2" max="2" width="14.42578125" style="27" bestFit="1" customWidth="1"/>
    <col min="3" max="3" width="62" style="27" bestFit="1" customWidth="1"/>
    <col min="4" max="4" width="35.28515625" style="27" bestFit="1" customWidth="1"/>
    <col min="5" max="5" width="14" style="27" customWidth="1"/>
    <col min="6" max="16384" width="11.42578125" style="27"/>
  </cols>
  <sheetData>
    <row r="1" spans="1:5" ht="25.5" customHeight="1" x14ac:dyDescent="0.3">
      <c r="A1" s="89" t="s">
        <v>256</v>
      </c>
      <c r="C1" s="1"/>
      <c r="D1"/>
      <c r="E1"/>
    </row>
    <row r="2" spans="1:5" x14ac:dyDescent="0.3">
      <c r="B2" s="88" t="s">
        <v>255</v>
      </c>
      <c r="D2"/>
      <c r="E2"/>
    </row>
    <row r="3" spans="1:5" x14ac:dyDescent="0.3">
      <c r="B3" s="17"/>
      <c r="C3" s="1"/>
      <c r="D3"/>
      <c r="E3"/>
    </row>
    <row r="4" spans="1:5" s="45" customFormat="1" ht="27" customHeight="1" x14ac:dyDescent="0.25">
      <c r="B4" s="45" t="s">
        <v>0</v>
      </c>
      <c r="C4" s="45" t="s">
        <v>133</v>
      </c>
      <c r="D4" s="45" t="s">
        <v>128</v>
      </c>
      <c r="E4" s="45" t="s">
        <v>132</v>
      </c>
    </row>
    <row r="5" spans="1:5" x14ac:dyDescent="0.3">
      <c r="B5" s="27" t="s">
        <v>77</v>
      </c>
      <c r="C5" s="27" t="s">
        <v>6</v>
      </c>
      <c r="D5" s="27" t="s">
        <v>62</v>
      </c>
      <c r="E5" s="27" t="s">
        <v>129</v>
      </c>
    </row>
    <row r="6" spans="1:5" x14ac:dyDescent="0.3">
      <c r="B6" s="27" t="s">
        <v>78</v>
      </c>
      <c r="C6" s="27" t="s">
        <v>7</v>
      </c>
      <c r="D6" s="27" t="s">
        <v>62</v>
      </c>
      <c r="E6" s="27" t="s">
        <v>129</v>
      </c>
    </row>
    <row r="7" spans="1:5" x14ac:dyDescent="0.3">
      <c r="B7" s="27" t="s">
        <v>79</v>
      </c>
      <c r="C7" s="27" t="s">
        <v>8</v>
      </c>
      <c r="D7" s="27" t="s">
        <v>62</v>
      </c>
      <c r="E7" s="27" t="s">
        <v>129</v>
      </c>
    </row>
    <row r="8" spans="1:5" x14ac:dyDescent="0.3">
      <c r="B8" s="27" t="s">
        <v>80</v>
      </c>
      <c r="C8" s="27" t="s">
        <v>9</v>
      </c>
      <c r="D8" s="27" t="s">
        <v>63</v>
      </c>
      <c r="E8" s="27" t="s">
        <v>129</v>
      </c>
    </row>
    <row r="9" spans="1:5" x14ac:dyDescent="0.3">
      <c r="B9" s="27" t="s">
        <v>81</v>
      </c>
      <c r="C9" s="27" t="s">
        <v>10</v>
      </c>
      <c r="D9" s="27" t="s">
        <v>64</v>
      </c>
      <c r="E9" s="27" t="s">
        <v>130</v>
      </c>
    </row>
    <row r="10" spans="1:5" x14ac:dyDescent="0.3">
      <c r="B10" s="27" t="s">
        <v>82</v>
      </c>
      <c r="C10" s="27" t="s">
        <v>11</v>
      </c>
      <c r="D10" s="27" t="s">
        <v>64</v>
      </c>
      <c r="E10" s="27" t="s">
        <v>130</v>
      </c>
    </row>
    <row r="11" spans="1:5" x14ac:dyDescent="0.3">
      <c r="B11" s="27" t="s">
        <v>83</v>
      </c>
      <c r="C11" s="27" t="s">
        <v>12</v>
      </c>
      <c r="D11" s="27" t="s">
        <v>64</v>
      </c>
      <c r="E11" s="27" t="s">
        <v>130</v>
      </c>
    </row>
    <row r="12" spans="1:5" x14ac:dyDescent="0.3">
      <c r="B12" s="27" t="s">
        <v>84</v>
      </c>
      <c r="C12" s="27" t="s">
        <v>13</v>
      </c>
      <c r="D12" s="27" t="s">
        <v>64</v>
      </c>
      <c r="E12" s="27" t="s">
        <v>130</v>
      </c>
    </row>
    <row r="13" spans="1:5" x14ac:dyDescent="0.3">
      <c r="B13" s="27" t="s">
        <v>85</v>
      </c>
      <c r="C13" s="27" t="s">
        <v>14</v>
      </c>
      <c r="D13" s="27" t="s">
        <v>61</v>
      </c>
      <c r="E13" s="27" t="s">
        <v>130</v>
      </c>
    </row>
    <row r="14" spans="1:5" x14ac:dyDescent="0.3">
      <c r="B14" s="27" t="s">
        <v>86</v>
      </c>
      <c r="C14" s="27" t="s">
        <v>15</v>
      </c>
      <c r="D14" s="27" t="s">
        <v>61</v>
      </c>
      <c r="E14" s="27" t="s">
        <v>130</v>
      </c>
    </row>
    <row r="15" spans="1:5" x14ac:dyDescent="0.3">
      <c r="B15" s="27" t="s">
        <v>87</v>
      </c>
      <c r="C15" s="27" t="s">
        <v>16</v>
      </c>
      <c r="D15" s="27" t="s">
        <v>61</v>
      </c>
      <c r="E15" s="27" t="s">
        <v>130</v>
      </c>
    </row>
    <row r="16" spans="1:5" x14ac:dyDescent="0.3">
      <c r="B16" s="27" t="s">
        <v>88</v>
      </c>
      <c r="C16" s="27" t="s">
        <v>17</v>
      </c>
      <c r="D16" s="27" t="s">
        <v>61</v>
      </c>
      <c r="E16" s="27" t="s">
        <v>130</v>
      </c>
    </row>
    <row r="17" spans="2:5" x14ac:dyDescent="0.3">
      <c r="B17" s="27" t="s">
        <v>89</v>
      </c>
      <c r="C17" s="27" t="s">
        <v>18</v>
      </c>
      <c r="D17" s="27" t="s">
        <v>60</v>
      </c>
      <c r="E17" s="27" t="s">
        <v>130</v>
      </c>
    </row>
    <row r="18" spans="2:5" x14ac:dyDescent="0.3">
      <c r="B18" s="27" t="s">
        <v>90</v>
      </c>
      <c r="C18" s="27" t="s">
        <v>19</v>
      </c>
      <c r="D18" s="27" t="s">
        <v>65</v>
      </c>
      <c r="E18" s="27" t="s">
        <v>129</v>
      </c>
    </row>
    <row r="19" spans="2:5" x14ac:dyDescent="0.3">
      <c r="B19" s="27" t="s">
        <v>91</v>
      </c>
      <c r="C19" s="27" t="s">
        <v>20</v>
      </c>
      <c r="D19" s="27" t="s">
        <v>66</v>
      </c>
      <c r="E19" s="27" t="s">
        <v>130</v>
      </c>
    </row>
    <row r="20" spans="2:5" x14ac:dyDescent="0.3">
      <c r="B20" s="27" t="s">
        <v>92</v>
      </c>
      <c r="C20" s="27" t="s">
        <v>21</v>
      </c>
      <c r="D20" s="27" t="s">
        <v>67</v>
      </c>
      <c r="E20" s="27" t="s">
        <v>129</v>
      </c>
    </row>
    <row r="21" spans="2:5" x14ac:dyDescent="0.3">
      <c r="B21" s="27" t="s">
        <v>93</v>
      </c>
      <c r="C21" s="27" t="s">
        <v>22</v>
      </c>
      <c r="D21" s="27" t="s">
        <v>67</v>
      </c>
      <c r="E21" s="27" t="s">
        <v>129</v>
      </c>
    </row>
    <row r="22" spans="2:5" x14ac:dyDescent="0.3">
      <c r="B22" s="27" t="s">
        <v>94</v>
      </c>
      <c r="C22" s="27" t="s">
        <v>23</v>
      </c>
      <c r="D22" s="27" t="s">
        <v>67</v>
      </c>
      <c r="E22" s="27" t="s">
        <v>129</v>
      </c>
    </row>
    <row r="23" spans="2:5" x14ac:dyDescent="0.3">
      <c r="B23" s="27" t="s">
        <v>95</v>
      </c>
      <c r="C23" s="27" t="s">
        <v>24</v>
      </c>
      <c r="D23" s="27" t="s">
        <v>67</v>
      </c>
      <c r="E23" s="27" t="s">
        <v>129</v>
      </c>
    </row>
    <row r="24" spans="2:5" x14ac:dyDescent="0.3">
      <c r="B24" s="27" t="s">
        <v>96</v>
      </c>
      <c r="C24" s="27" t="s">
        <v>25</v>
      </c>
      <c r="D24" s="27" t="s">
        <v>68</v>
      </c>
      <c r="E24" s="27" t="s">
        <v>130</v>
      </c>
    </row>
    <row r="25" spans="2:5" x14ac:dyDescent="0.3">
      <c r="B25" s="27" t="s">
        <v>97</v>
      </c>
      <c r="C25" s="27" t="s">
        <v>26</v>
      </c>
      <c r="D25" s="27" t="s">
        <v>69</v>
      </c>
      <c r="E25" s="27" t="s">
        <v>131</v>
      </c>
    </row>
    <row r="26" spans="2:5" x14ac:dyDescent="0.3">
      <c r="B26" s="27" t="s">
        <v>98</v>
      </c>
      <c r="C26" s="27" t="s">
        <v>28</v>
      </c>
      <c r="D26" s="27" t="s">
        <v>70</v>
      </c>
      <c r="E26" s="27" t="s">
        <v>131</v>
      </c>
    </row>
    <row r="27" spans="2:5" x14ac:dyDescent="0.3">
      <c r="B27" s="27" t="s">
        <v>99</v>
      </c>
      <c r="C27" s="27" t="s">
        <v>29</v>
      </c>
      <c r="D27" s="27" t="s">
        <v>70</v>
      </c>
      <c r="E27" s="27" t="s">
        <v>131</v>
      </c>
    </row>
    <row r="28" spans="2:5" x14ac:dyDescent="0.3">
      <c r="B28" s="27" t="s">
        <v>100</v>
      </c>
      <c r="C28" s="27" t="s">
        <v>30</v>
      </c>
      <c r="D28" s="27" t="s">
        <v>70</v>
      </c>
      <c r="E28" s="27" t="s">
        <v>131</v>
      </c>
    </row>
    <row r="29" spans="2:5" x14ac:dyDescent="0.3">
      <c r="B29" s="27" t="s">
        <v>101</v>
      </c>
      <c r="C29" s="27" t="s">
        <v>31</v>
      </c>
      <c r="D29" s="27" t="s">
        <v>70</v>
      </c>
      <c r="E29" s="27" t="s">
        <v>131</v>
      </c>
    </row>
    <row r="30" spans="2:5" x14ac:dyDescent="0.3">
      <c r="B30" s="27" t="s">
        <v>102</v>
      </c>
      <c r="C30" s="27" t="s">
        <v>32</v>
      </c>
      <c r="D30" s="27" t="s">
        <v>70</v>
      </c>
      <c r="E30" s="27" t="s">
        <v>131</v>
      </c>
    </row>
    <row r="31" spans="2:5" x14ac:dyDescent="0.3">
      <c r="B31" s="27" t="s">
        <v>103</v>
      </c>
      <c r="C31" s="27" t="s">
        <v>33</v>
      </c>
      <c r="D31" s="27" t="s">
        <v>70</v>
      </c>
      <c r="E31" s="27" t="s">
        <v>131</v>
      </c>
    </row>
    <row r="32" spans="2:5" x14ac:dyDescent="0.3">
      <c r="B32" s="27" t="s">
        <v>104</v>
      </c>
      <c r="C32" s="27" t="s">
        <v>34</v>
      </c>
      <c r="D32" s="27" t="s">
        <v>71</v>
      </c>
      <c r="E32" s="27" t="s">
        <v>131</v>
      </c>
    </row>
    <row r="33" spans="2:5" x14ac:dyDescent="0.3">
      <c r="B33" s="27" t="s">
        <v>105</v>
      </c>
      <c r="C33" s="27" t="s">
        <v>35</v>
      </c>
      <c r="D33" s="27" t="s">
        <v>72</v>
      </c>
      <c r="E33" s="27" t="s">
        <v>131</v>
      </c>
    </row>
    <row r="34" spans="2:5" x14ac:dyDescent="0.3">
      <c r="B34" s="27" t="s">
        <v>106</v>
      </c>
      <c r="C34" s="27" t="s">
        <v>36</v>
      </c>
      <c r="D34" s="27" t="s">
        <v>72</v>
      </c>
      <c r="E34" s="27" t="s">
        <v>131</v>
      </c>
    </row>
    <row r="35" spans="2:5" x14ac:dyDescent="0.3">
      <c r="B35" s="27" t="s">
        <v>107</v>
      </c>
      <c r="C35" s="27" t="s">
        <v>37</v>
      </c>
      <c r="D35" s="27" t="s">
        <v>37</v>
      </c>
      <c r="E35" s="27" t="s">
        <v>131</v>
      </c>
    </row>
    <row r="36" spans="2:5" x14ac:dyDescent="0.3">
      <c r="B36" s="27" t="s">
        <v>108</v>
      </c>
      <c r="C36" s="27" t="s">
        <v>38</v>
      </c>
      <c r="D36" s="27" t="s">
        <v>73</v>
      </c>
      <c r="E36" s="27" t="s">
        <v>131</v>
      </c>
    </row>
    <row r="37" spans="2:5" x14ac:dyDescent="0.3">
      <c r="B37" s="27" t="s">
        <v>109</v>
      </c>
      <c r="C37" s="27" t="s">
        <v>39</v>
      </c>
      <c r="D37" s="27" t="s">
        <v>119</v>
      </c>
      <c r="E37" s="27" t="s">
        <v>131</v>
      </c>
    </row>
    <row r="38" spans="2:5" x14ac:dyDescent="0.3">
      <c r="B38" s="27" t="s">
        <v>110</v>
      </c>
      <c r="C38" s="27" t="s">
        <v>40</v>
      </c>
      <c r="D38" s="27" t="s">
        <v>75</v>
      </c>
      <c r="E38" s="27" t="s">
        <v>131</v>
      </c>
    </row>
    <row r="39" spans="2:5" x14ac:dyDescent="0.3">
      <c r="B39" s="27" t="s">
        <v>111</v>
      </c>
      <c r="C39" s="27" t="s">
        <v>41</v>
      </c>
      <c r="D39" s="27" t="s">
        <v>74</v>
      </c>
      <c r="E39" s="27" t="s">
        <v>131</v>
      </c>
    </row>
    <row r="40" spans="2:5" x14ac:dyDescent="0.3">
      <c r="B40" s="27" t="s">
        <v>112</v>
      </c>
      <c r="C40" s="27" t="s">
        <v>42</v>
      </c>
      <c r="D40" s="27" t="s">
        <v>76</v>
      </c>
      <c r="E40" s="27" t="s">
        <v>131</v>
      </c>
    </row>
    <row r="41" spans="2:5" x14ac:dyDescent="0.3">
      <c r="B41" s="27" t="s">
        <v>113</v>
      </c>
      <c r="C41" s="27" t="s">
        <v>43</v>
      </c>
      <c r="D41" s="27" t="s">
        <v>68</v>
      </c>
      <c r="E41" s="27" t="s">
        <v>130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A04B-4550-4232-B32E-C22AFA6496A0}">
  <sheetPr codeName="Feuil6"/>
  <dimension ref="A1:G42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I16" sqref="I16"/>
    </sheetView>
  </sheetViews>
  <sheetFormatPr baseColWidth="10" defaultRowHeight="17.25" x14ac:dyDescent="0.3"/>
  <cols>
    <col min="1" max="1" width="11.42578125" style="27"/>
    <col min="2" max="2" width="14.85546875" style="27" bestFit="1" customWidth="1"/>
    <col min="3" max="3" width="62" style="27" bestFit="1" customWidth="1"/>
    <col min="4" max="4" width="35.28515625" style="27" bestFit="1" customWidth="1"/>
    <col min="5" max="5" width="14" style="27" bestFit="1" customWidth="1"/>
    <col min="6" max="6" width="16.5703125" style="27" bestFit="1" customWidth="1"/>
    <col min="7" max="7" width="14.28515625" style="27" customWidth="1"/>
    <col min="8" max="16384" width="11.42578125" style="27"/>
  </cols>
  <sheetData>
    <row r="1" spans="1:7" x14ac:dyDescent="0.3">
      <c r="A1" s="30" t="s">
        <v>258</v>
      </c>
    </row>
    <row r="2" spans="1:7" x14ac:dyDescent="0.3">
      <c r="B2" s="37"/>
    </row>
    <row r="4" spans="1:7" s="45" customFormat="1" ht="27" customHeight="1" x14ac:dyDescent="0.25">
      <c r="B4" s="45" t="s">
        <v>0</v>
      </c>
      <c r="C4" s="45" t="s">
        <v>133</v>
      </c>
      <c r="D4" s="45" t="s">
        <v>128</v>
      </c>
      <c r="E4" s="45" t="s">
        <v>132</v>
      </c>
      <c r="F4" s="45" t="s">
        <v>54</v>
      </c>
      <c r="G4" s="45" t="s">
        <v>55</v>
      </c>
    </row>
    <row r="5" spans="1:7" x14ac:dyDescent="0.3">
      <c r="B5" s="27" t="s">
        <v>77</v>
      </c>
      <c r="C5" s="27" t="s">
        <v>6</v>
      </c>
      <c r="D5" s="27" t="s">
        <v>62</v>
      </c>
      <c r="E5" s="27" t="s">
        <v>129</v>
      </c>
      <c r="F5" s="27">
        <v>50000</v>
      </c>
      <c r="G5" s="27">
        <v>50000</v>
      </c>
    </row>
    <row r="6" spans="1:7" x14ac:dyDescent="0.3">
      <c r="B6" s="27" t="s">
        <v>78</v>
      </c>
      <c r="C6" s="27" t="s">
        <v>7</v>
      </c>
      <c r="D6" s="27" t="s">
        <v>62</v>
      </c>
      <c r="E6" s="27" t="s">
        <v>129</v>
      </c>
      <c r="F6" s="27">
        <v>18000</v>
      </c>
      <c r="G6" s="27">
        <v>24500</v>
      </c>
    </row>
    <row r="7" spans="1:7" x14ac:dyDescent="0.3">
      <c r="B7" s="27" t="s">
        <v>79</v>
      </c>
      <c r="C7" s="27" t="s">
        <v>8</v>
      </c>
      <c r="D7" s="27" t="s">
        <v>62</v>
      </c>
      <c r="E7" s="27" t="s">
        <v>129</v>
      </c>
      <c r="F7" s="27">
        <v>4200</v>
      </c>
      <c r="G7" s="27">
        <v>4200</v>
      </c>
    </row>
    <row r="8" spans="1:7" x14ac:dyDescent="0.3">
      <c r="B8" s="27" t="s">
        <v>80</v>
      </c>
      <c r="C8" s="27" t="s">
        <v>9</v>
      </c>
      <c r="D8" s="27" t="s">
        <v>63</v>
      </c>
      <c r="E8" s="27" t="s">
        <v>129</v>
      </c>
      <c r="F8" s="27">
        <v>32000</v>
      </c>
      <c r="G8" s="27">
        <v>24000</v>
      </c>
    </row>
    <row r="9" spans="1:7" x14ac:dyDescent="0.3">
      <c r="B9" s="27" t="s">
        <v>81</v>
      </c>
      <c r="C9" s="27" t="s">
        <v>10</v>
      </c>
      <c r="D9" s="27" t="s">
        <v>64</v>
      </c>
      <c r="E9" s="27" t="s">
        <v>130</v>
      </c>
      <c r="F9" s="27">
        <v>3200</v>
      </c>
      <c r="G9" s="27">
        <v>4600</v>
      </c>
    </row>
    <row r="10" spans="1:7" x14ac:dyDescent="0.3">
      <c r="B10" s="27" t="s">
        <v>82</v>
      </c>
      <c r="C10" s="27" t="s">
        <v>11</v>
      </c>
      <c r="D10" s="27" t="s">
        <v>64</v>
      </c>
      <c r="E10" s="27" t="s">
        <v>130</v>
      </c>
      <c r="F10" s="27">
        <v>45000</v>
      </c>
      <c r="G10" s="27">
        <v>45000</v>
      </c>
    </row>
    <row r="11" spans="1:7" x14ac:dyDescent="0.3">
      <c r="B11" s="27" t="s">
        <v>83</v>
      </c>
      <c r="C11" s="27" t="s">
        <v>12</v>
      </c>
      <c r="D11" s="27" t="s">
        <v>64</v>
      </c>
      <c r="E11" s="27" t="s">
        <v>130</v>
      </c>
      <c r="F11" s="27">
        <v>12800</v>
      </c>
      <c r="G11" s="27">
        <v>15200</v>
      </c>
    </row>
    <row r="12" spans="1:7" x14ac:dyDescent="0.3">
      <c r="B12" s="27" t="s">
        <v>84</v>
      </c>
      <c r="C12" s="27" t="s">
        <v>13</v>
      </c>
      <c r="D12" s="27" t="s">
        <v>64</v>
      </c>
      <c r="E12" s="27" t="s">
        <v>130</v>
      </c>
      <c r="F12" s="27">
        <v>21000</v>
      </c>
      <c r="G12" s="27">
        <v>21000</v>
      </c>
    </row>
    <row r="13" spans="1:7" x14ac:dyDescent="0.3">
      <c r="B13" s="27" t="s">
        <v>85</v>
      </c>
      <c r="C13" s="27" t="s">
        <v>14</v>
      </c>
      <c r="D13" s="27" t="s">
        <v>61</v>
      </c>
      <c r="E13" s="27" t="s">
        <v>130</v>
      </c>
      <c r="F13" s="27">
        <v>1600</v>
      </c>
      <c r="G13" s="27">
        <v>2400</v>
      </c>
    </row>
    <row r="14" spans="1:7" x14ac:dyDescent="0.3">
      <c r="B14" s="27" t="s">
        <v>86</v>
      </c>
      <c r="C14" s="27" t="s">
        <v>15</v>
      </c>
      <c r="D14" s="27" t="s">
        <v>61</v>
      </c>
      <c r="E14" s="27" t="s">
        <v>130</v>
      </c>
      <c r="F14" s="27">
        <v>9000</v>
      </c>
      <c r="G14" s="27">
        <v>11250</v>
      </c>
    </row>
    <row r="15" spans="1:7" x14ac:dyDescent="0.3">
      <c r="B15" s="27" t="s">
        <v>87</v>
      </c>
      <c r="C15" s="27" t="s">
        <v>16</v>
      </c>
      <c r="D15" s="27" t="s">
        <v>61</v>
      </c>
      <c r="E15" s="27" t="s">
        <v>130</v>
      </c>
      <c r="F15" s="27">
        <v>6400</v>
      </c>
      <c r="G15" s="27">
        <v>8200</v>
      </c>
    </row>
    <row r="16" spans="1:7" x14ac:dyDescent="0.3">
      <c r="B16" s="27" t="s">
        <v>88</v>
      </c>
      <c r="C16" s="27" t="s">
        <v>17</v>
      </c>
      <c r="D16" s="27" t="s">
        <v>61</v>
      </c>
      <c r="E16" s="27" t="s">
        <v>130</v>
      </c>
      <c r="F16" s="27">
        <v>8400</v>
      </c>
      <c r="G16" s="27">
        <v>12600</v>
      </c>
    </row>
    <row r="17" spans="2:7" x14ac:dyDescent="0.3">
      <c r="B17" s="27" t="s">
        <v>89</v>
      </c>
      <c r="C17" s="27" t="s">
        <v>18</v>
      </c>
      <c r="D17" s="27" t="s">
        <v>60</v>
      </c>
      <c r="E17" s="27" t="s">
        <v>130</v>
      </c>
      <c r="F17" s="27">
        <v>18500</v>
      </c>
      <c r="G17" s="27">
        <v>22300</v>
      </c>
    </row>
    <row r="18" spans="2:7" x14ac:dyDescent="0.3">
      <c r="B18" s="27" t="s">
        <v>90</v>
      </c>
      <c r="C18" s="27" t="s">
        <v>19</v>
      </c>
      <c r="D18" s="27" t="s">
        <v>65</v>
      </c>
      <c r="E18" s="27" t="s">
        <v>129</v>
      </c>
      <c r="F18" s="27">
        <v>21400</v>
      </c>
      <c r="G18" s="27">
        <v>26800</v>
      </c>
    </row>
    <row r="19" spans="2:7" x14ac:dyDescent="0.3">
      <c r="B19" s="27" t="s">
        <v>91</v>
      </c>
      <c r="C19" s="27" t="s">
        <v>20</v>
      </c>
      <c r="D19" s="27" t="s">
        <v>66</v>
      </c>
      <c r="E19" s="27" t="s">
        <v>130</v>
      </c>
      <c r="F19" s="27">
        <v>28900</v>
      </c>
      <c r="G19" s="27">
        <v>35600</v>
      </c>
    </row>
    <row r="20" spans="2:7" x14ac:dyDescent="0.3">
      <c r="B20" s="27" t="s">
        <v>92</v>
      </c>
      <c r="C20" s="27" t="s">
        <v>21</v>
      </c>
      <c r="D20" s="27" t="s">
        <v>67</v>
      </c>
      <c r="E20" s="27" t="s">
        <v>129</v>
      </c>
      <c r="F20" s="27">
        <v>3100</v>
      </c>
      <c r="G20" s="27">
        <v>3400</v>
      </c>
    </row>
    <row r="21" spans="2:7" x14ac:dyDescent="0.3">
      <c r="B21" s="27" t="s">
        <v>93</v>
      </c>
      <c r="C21" s="27" t="s">
        <v>22</v>
      </c>
      <c r="D21" s="27" t="s">
        <v>67</v>
      </c>
      <c r="E21" s="27" t="s">
        <v>129</v>
      </c>
      <c r="F21" s="27">
        <v>1800</v>
      </c>
      <c r="G21" s="27">
        <v>2100</v>
      </c>
    </row>
    <row r="22" spans="2:7" x14ac:dyDescent="0.3">
      <c r="B22" s="27" t="s">
        <v>94</v>
      </c>
      <c r="C22" s="27" t="s">
        <v>23</v>
      </c>
      <c r="D22" s="27" t="s">
        <v>67</v>
      </c>
      <c r="E22" s="27" t="s">
        <v>129</v>
      </c>
      <c r="F22" s="27">
        <v>2600</v>
      </c>
      <c r="G22" s="27">
        <v>3050</v>
      </c>
    </row>
    <row r="23" spans="2:7" x14ac:dyDescent="0.3">
      <c r="B23" s="27" t="s">
        <v>95</v>
      </c>
      <c r="C23" s="27" t="s">
        <v>24</v>
      </c>
      <c r="D23" s="27" t="s">
        <v>67</v>
      </c>
      <c r="E23" s="27" t="s">
        <v>129</v>
      </c>
      <c r="F23" s="27">
        <v>1900</v>
      </c>
      <c r="G23" s="27">
        <v>2250</v>
      </c>
    </row>
    <row r="24" spans="2:7" x14ac:dyDescent="0.3">
      <c r="B24" s="27" t="s">
        <v>96</v>
      </c>
      <c r="C24" s="27" t="s">
        <v>25</v>
      </c>
      <c r="D24" s="27" t="s">
        <v>68</v>
      </c>
      <c r="E24" s="27" t="s">
        <v>130</v>
      </c>
      <c r="F24" s="27">
        <v>850</v>
      </c>
      <c r="G24" s="27">
        <v>1100</v>
      </c>
    </row>
    <row r="25" spans="2:7" x14ac:dyDescent="0.3">
      <c r="B25" s="27" t="s">
        <v>97</v>
      </c>
      <c r="C25" s="27" t="s">
        <v>26</v>
      </c>
      <c r="D25" s="27" t="s">
        <v>69</v>
      </c>
      <c r="E25" s="27" t="s">
        <v>131</v>
      </c>
      <c r="F25" s="27">
        <v>142000</v>
      </c>
      <c r="G25" s="27">
        <v>100800</v>
      </c>
    </row>
    <row r="26" spans="2:7" x14ac:dyDescent="0.3">
      <c r="B26" s="27" t="s">
        <v>97</v>
      </c>
      <c r="C26" s="27" t="s">
        <v>27</v>
      </c>
      <c r="D26" s="27" t="s">
        <v>69</v>
      </c>
      <c r="E26" s="27" t="s">
        <v>131</v>
      </c>
      <c r="F26" s="27">
        <v>0</v>
      </c>
      <c r="G26" s="27">
        <v>67200</v>
      </c>
    </row>
    <row r="27" spans="2:7" x14ac:dyDescent="0.3">
      <c r="B27" s="27" t="s">
        <v>98</v>
      </c>
      <c r="C27" s="27" t="s">
        <v>28</v>
      </c>
      <c r="D27" s="27" t="s">
        <v>70</v>
      </c>
      <c r="E27" s="27" t="s">
        <v>131</v>
      </c>
      <c r="F27" s="27">
        <v>3200</v>
      </c>
      <c r="G27" s="27">
        <v>3600</v>
      </c>
    </row>
    <row r="28" spans="2:7" x14ac:dyDescent="0.3">
      <c r="B28" s="27" t="s">
        <v>99</v>
      </c>
      <c r="C28" s="27" t="s">
        <v>29</v>
      </c>
      <c r="D28" s="27" t="s">
        <v>70</v>
      </c>
      <c r="E28" s="27" t="s">
        <v>131</v>
      </c>
      <c r="F28" s="27">
        <v>0</v>
      </c>
      <c r="G28" s="27">
        <v>1450</v>
      </c>
    </row>
    <row r="29" spans="2:7" x14ac:dyDescent="0.3">
      <c r="B29" s="27" t="s">
        <v>100</v>
      </c>
      <c r="C29" s="27" t="s">
        <v>30</v>
      </c>
      <c r="D29" s="27" t="s">
        <v>70</v>
      </c>
      <c r="E29" s="27" t="s">
        <v>131</v>
      </c>
      <c r="F29" s="27">
        <v>4100</v>
      </c>
      <c r="G29" s="27">
        <v>4900</v>
      </c>
    </row>
    <row r="30" spans="2:7" x14ac:dyDescent="0.3">
      <c r="B30" s="27" t="s">
        <v>101</v>
      </c>
      <c r="C30" s="27" t="s">
        <v>31</v>
      </c>
      <c r="D30" s="27" t="s">
        <v>70</v>
      </c>
      <c r="E30" s="27" t="s">
        <v>131</v>
      </c>
      <c r="F30" s="27">
        <v>6000</v>
      </c>
      <c r="G30" s="27">
        <v>6000</v>
      </c>
    </row>
    <row r="31" spans="2:7" x14ac:dyDescent="0.3">
      <c r="B31" s="27" t="s">
        <v>102</v>
      </c>
      <c r="C31" s="27" t="s">
        <v>32</v>
      </c>
      <c r="D31" s="27" t="s">
        <v>70</v>
      </c>
      <c r="E31" s="27" t="s">
        <v>131</v>
      </c>
      <c r="F31" s="27">
        <v>8400</v>
      </c>
      <c r="G31" s="27">
        <v>12600</v>
      </c>
    </row>
    <row r="32" spans="2:7" x14ac:dyDescent="0.3">
      <c r="B32" s="27" t="s">
        <v>103</v>
      </c>
      <c r="C32" s="27" t="s">
        <v>33</v>
      </c>
      <c r="D32" s="27" t="s">
        <v>70</v>
      </c>
      <c r="E32" s="27" t="s">
        <v>131</v>
      </c>
      <c r="F32" s="27">
        <v>3600</v>
      </c>
      <c r="G32" s="27">
        <v>4100</v>
      </c>
    </row>
    <row r="33" spans="2:7" x14ac:dyDescent="0.3">
      <c r="B33" s="27" t="s">
        <v>104</v>
      </c>
      <c r="C33" s="27" t="s">
        <v>34</v>
      </c>
      <c r="D33" s="27" t="s">
        <v>71</v>
      </c>
      <c r="E33" s="27" t="s">
        <v>131</v>
      </c>
      <c r="F33" s="27">
        <v>1900</v>
      </c>
      <c r="G33" s="27">
        <v>2200</v>
      </c>
    </row>
    <row r="34" spans="2:7" x14ac:dyDescent="0.3">
      <c r="B34" s="27" t="s">
        <v>105</v>
      </c>
      <c r="C34" s="27" t="s">
        <v>35</v>
      </c>
      <c r="D34" s="27" t="s">
        <v>72</v>
      </c>
      <c r="E34" s="27" t="s">
        <v>131</v>
      </c>
      <c r="F34" s="27">
        <v>24500</v>
      </c>
      <c r="G34" s="27">
        <v>27800</v>
      </c>
    </row>
    <row r="35" spans="2:7" x14ac:dyDescent="0.3">
      <c r="B35" s="27" t="s">
        <v>106</v>
      </c>
      <c r="C35" s="27" t="s">
        <v>36</v>
      </c>
      <c r="D35" s="27" t="s">
        <v>72</v>
      </c>
      <c r="E35" s="27" t="s">
        <v>131</v>
      </c>
      <c r="F35" s="27">
        <v>6200</v>
      </c>
      <c r="G35" s="27">
        <v>7050</v>
      </c>
    </row>
    <row r="36" spans="2:7" x14ac:dyDescent="0.3">
      <c r="B36" s="27" t="s">
        <v>107</v>
      </c>
      <c r="C36" s="27" t="s">
        <v>37</v>
      </c>
      <c r="D36" s="27" t="s">
        <v>37</v>
      </c>
      <c r="E36" s="27" t="s">
        <v>131</v>
      </c>
      <c r="F36" s="27">
        <v>7100</v>
      </c>
      <c r="G36" s="27">
        <v>9050</v>
      </c>
    </row>
    <row r="37" spans="2:7" x14ac:dyDescent="0.3">
      <c r="B37" s="27" t="s">
        <v>108</v>
      </c>
      <c r="C37" s="27" t="s">
        <v>38</v>
      </c>
      <c r="D37" s="27" t="s">
        <v>73</v>
      </c>
      <c r="E37" s="27" t="s">
        <v>131</v>
      </c>
      <c r="F37" s="27">
        <v>2900</v>
      </c>
      <c r="G37" s="27">
        <v>2200</v>
      </c>
    </row>
    <row r="38" spans="2:7" x14ac:dyDescent="0.3">
      <c r="B38" s="27" t="s">
        <v>109</v>
      </c>
      <c r="C38" s="27" t="s">
        <v>39</v>
      </c>
      <c r="D38" s="27" t="s">
        <v>119</v>
      </c>
      <c r="E38" s="27" t="s">
        <v>131</v>
      </c>
      <c r="F38" s="27">
        <v>4100</v>
      </c>
      <c r="G38" s="27">
        <v>5450</v>
      </c>
    </row>
    <row r="39" spans="2:7" x14ac:dyDescent="0.3">
      <c r="B39" s="27" t="s">
        <v>110</v>
      </c>
      <c r="C39" s="27" t="s">
        <v>40</v>
      </c>
      <c r="D39" s="27" t="s">
        <v>75</v>
      </c>
      <c r="E39" s="27" t="s">
        <v>131</v>
      </c>
      <c r="F39" s="27">
        <v>236000</v>
      </c>
      <c r="G39" s="27">
        <v>279500</v>
      </c>
    </row>
    <row r="40" spans="2:7" x14ac:dyDescent="0.3">
      <c r="B40" s="27" t="s">
        <v>111</v>
      </c>
      <c r="C40" s="27" t="s">
        <v>41</v>
      </c>
      <c r="D40" s="27" t="s">
        <v>74</v>
      </c>
      <c r="E40" s="27" t="s">
        <v>131</v>
      </c>
      <c r="F40" s="27">
        <v>900</v>
      </c>
      <c r="G40" s="27">
        <v>1150</v>
      </c>
    </row>
    <row r="41" spans="2:7" x14ac:dyDescent="0.3">
      <c r="B41" s="27" t="s">
        <v>112</v>
      </c>
      <c r="C41" s="27" t="s">
        <v>42</v>
      </c>
      <c r="D41" s="27" t="s">
        <v>76</v>
      </c>
      <c r="E41" s="27" t="s">
        <v>131</v>
      </c>
      <c r="F41" s="27">
        <v>150</v>
      </c>
      <c r="G41" s="27">
        <v>200</v>
      </c>
    </row>
    <row r="42" spans="2:7" x14ac:dyDescent="0.3">
      <c r="B42" s="27" t="s">
        <v>113</v>
      </c>
      <c r="C42" s="27" t="s">
        <v>43</v>
      </c>
      <c r="D42" s="27" t="s">
        <v>68</v>
      </c>
      <c r="E42" s="27" t="s">
        <v>130</v>
      </c>
      <c r="F42" s="27">
        <v>53200</v>
      </c>
      <c r="G42" s="27">
        <v>56400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7ACD-5C39-4512-886A-FB0D9AF6E615}">
  <sheetPr codeName="Feuil7"/>
  <dimension ref="A1:Q31"/>
  <sheetViews>
    <sheetView showGridLines="0" workbookViewId="0">
      <selection activeCell="J12" sqref="J12"/>
    </sheetView>
  </sheetViews>
  <sheetFormatPr baseColWidth="10" defaultRowHeight="17.25" outlineLevelCol="1" x14ac:dyDescent="0.3"/>
  <cols>
    <col min="1" max="1" width="8.42578125" style="27" customWidth="1"/>
    <col min="2" max="2" width="37" style="27" bestFit="1" customWidth="1"/>
    <col min="3" max="3" width="15.7109375" style="27" customWidth="1"/>
    <col min="4" max="4" width="15.85546875" style="27" customWidth="1"/>
    <col min="5" max="5" width="15" style="27" bestFit="1" customWidth="1"/>
    <col min="6" max="6" width="13" style="38" bestFit="1" customWidth="1"/>
    <col min="7" max="7" width="11.42578125" style="27" customWidth="1"/>
    <col min="8" max="8" width="11.140625" style="27" bestFit="1" customWidth="1"/>
    <col min="9" max="9" width="11" style="27" bestFit="1" customWidth="1"/>
    <col min="10" max="11" width="11.42578125" style="27" customWidth="1"/>
    <col min="12" max="14" width="11.42578125" style="27" customWidth="1" outlineLevel="1"/>
    <col min="15" max="17" width="11.42578125" style="27" customWidth="1"/>
    <col min="18" max="16384" width="11.42578125" style="27"/>
  </cols>
  <sheetData>
    <row r="1" spans="1:17" ht="18.75" x14ac:dyDescent="0.3">
      <c r="A1" s="93" t="s">
        <v>135</v>
      </c>
    </row>
    <row r="2" spans="1:17" x14ac:dyDescent="0.3">
      <c r="B2" s="37" t="s">
        <v>262</v>
      </c>
    </row>
    <row r="3" spans="1:17" x14ac:dyDescent="0.3">
      <c r="H3" s="32"/>
      <c r="I3" s="32"/>
    </row>
    <row r="4" spans="1:17" s="33" customFormat="1" ht="34.5" x14ac:dyDescent="0.3">
      <c r="B4" s="33" t="s">
        <v>136</v>
      </c>
      <c r="C4" s="33" t="s">
        <v>115</v>
      </c>
      <c r="D4" s="33" t="s">
        <v>116</v>
      </c>
      <c r="E4" s="33" t="s">
        <v>117</v>
      </c>
      <c r="F4" s="33" t="s">
        <v>118</v>
      </c>
      <c r="H4" s="39" t="s">
        <v>128</v>
      </c>
      <c r="I4" s="40" t="s">
        <v>114</v>
      </c>
    </row>
    <row r="5" spans="1:17" x14ac:dyDescent="0.3">
      <c r="B5" s="41" t="s">
        <v>75</v>
      </c>
      <c r="C5" s="28">
        <f xml:space="preserve"> SUMIFS(Balance[Solde N-1],Balance[Bucket], B5)</f>
        <v>236000</v>
      </c>
      <c r="D5" s="28">
        <f xml:space="preserve"> SUMIFS(Balance[Solde N],Balance[Bucket],B5)</f>
        <v>279500</v>
      </c>
      <c r="E5" s="28">
        <f>D5-C5</f>
        <v>43500</v>
      </c>
      <c r="F5" s="29">
        <f>E5/C5</f>
        <v>0.18432203389830509</v>
      </c>
      <c r="L5" s="27" t="s">
        <v>225</v>
      </c>
    </row>
    <row r="6" spans="1:17" x14ac:dyDescent="0.3">
      <c r="B6" s="41" t="s">
        <v>69</v>
      </c>
      <c r="C6" s="28">
        <f xml:space="preserve"> SUMIFS(Balance[Solde N-1],Balance[Bucket], B6)</f>
        <v>142000</v>
      </c>
      <c r="D6" s="28">
        <f>SUMIFS(Balance[Solde N],Balance[Bucket],B6)</f>
        <v>168000</v>
      </c>
      <c r="E6" s="28">
        <f t="shared" ref="E6:E29" si="0">D6-C6</f>
        <v>26000</v>
      </c>
      <c r="F6" s="29">
        <f t="shared" ref="F6:F29" si="1">E6/C6</f>
        <v>0.18309859154929578</v>
      </c>
      <c r="H6" s="40" t="s">
        <v>137</v>
      </c>
      <c r="I6" s="40" t="s">
        <v>138</v>
      </c>
      <c r="L6" s="27" t="str">
        <f>IF(D5=C5,"─ 0 (0,0%)",IF(C5=0,"▲ +"&amp;TEXT(D5-C5,"# ##0")&amp;" (N/A)",IF(D5&gt;C5,"▲ +"&amp;TEXT(D5-C5,"# ##0")&amp;" ("&amp;TEXT((D5-C5)/C5,"+0,0%")&amp;")","▼ "&amp;TEXT(D5-C5,"# ##0")&amp;" ("&amp;TEXT((D5-C5)/C5,"0,0%")&amp;")")))</f>
        <v>▲ +43 500 (+18,4%)</v>
      </c>
    </row>
    <row r="7" spans="1:17" ht="21" customHeight="1" x14ac:dyDescent="0.3">
      <c r="B7" s="42" t="s">
        <v>120</v>
      </c>
      <c r="C7" s="34">
        <f>C5-C6</f>
        <v>94000</v>
      </c>
      <c r="D7" s="34">
        <f>D5-D6</f>
        <v>111500</v>
      </c>
      <c r="E7" s="34">
        <f t="shared" si="0"/>
        <v>17500</v>
      </c>
      <c r="F7" s="35">
        <f t="shared" si="1"/>
        <v>0.18617021276595744</v>
      </c>
      <c r="H7" s="43">
        <v>794900</v>
      </c>
      <c r="I7" s="43">
        <v>911200</v>
      </c>
      <c r="J7" s="32"/>
      <c r="K7" s="32"/>
      <c r="L7" s="32"/>
      <c r="M7" s="32"/>
      <c r="N7" s="32"/>
      <c r="O7" s="32"/>
      <c r="P7" s="32"/>
      <c r="Q7" s="32"/>
    </row>
    <row r="8" spans="1:17" x14ac:dyDescent="0.3">
      <c r="B8" s="41"/>
      <c r="C8" s="28"/>
      <c r="D8" s="28"/>
      <c r="E8" s="28"/>
      <c r="F8" s="29"/>
      <c r="H8" s="32"/>
      <c r="I8" s="32"/>
      <c r="J8" s="32"/>
      <c r="K8" s="32"/>
      <c r="M8" s="32"/>
      <c r="N8" s="32"/>
      <c r="O8" s="32"/>
      <c r="P8" s="32"/>
      <c r="Q8" s="32"/>
    </row>
    <row r="9" spans="1:17" x14ac:dyDescent="0.3">
      <c r="B9" s="41" t="s">
        <v>74</v>
      </c>
      <c r="C9" s="28">
        <f xml:space="preserve"> SUMIFS(Balance[Solde N-1],Balance[Bucket], B9)</f>
        <v>900</v>
      </c>
      <c r="D9" s="28">
        <f xml:space="preserve"> SUMIFS(Balance[Solde N],Balance[Bucket],B9)</f>
        <v>1150</v>
      </c>
      <c r="E9" s="28">
        <f t="shared" si="0"/>
        <v>250</v>
      </c>
      <c r="F9" s="29">
        <f t="shared" si="1"/>
        <v>0.27777777777777779</v>
      </c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3">
      <c r="B10" s="41" t="s">
        <v>70</v>
      </c>
      <c r="C10" s="28">
        <f xml:space="preserve"> SUMIFS(Balance[Solde N-1],Balance[Bucket], B10)</f>
        <v>25300</v>
      </c>
      <c r="D10" s="28">
        <f xml:space="preserve"> SUMIFS(Balance[Solde N],Balance[Bucket],B10)</f>
        <v>32650</v>
      </c>
      <c r="E10" s="28">
        <f t="shared" si="0"/>
        <v>7350</v>
      </c>
      <c r="F10" s="29">
        <f t="shared" si="1"/>
        <v>0.29051383399209485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ht="21" customHeight="1" x14ac:dyDescent="0.3">
      <c r="B11" s="42" t="s">
        <v>121</v>
      </c>
      <c r="C11" s="34">
        <f>C7+C9-C10</f>
        <v>69600</v>
      </c>
      <c r="D11" s="34">
        <f>D7+D9-D10</f>
        <v>80000</v>
      </c>
      <c r="E11" s="34">
        <f t="shared" si="0"/>
        <v>10400</v>
      </c>
      <c r="F11" s="35">
        <f t="shared" si="1"/>
        <v>0.14942528735632185</v>
      </c>
      <c r="H11" s="32"/>
      <c r="I11" s="32"/>
      <c r="J11" s="78"/>
    </row>
    <row r="12" spans="1:17" x14ac:dyDescent="0.3">
      <c r="B12" s="41"/>
      <c r="C12" s="28"/>
      <c r="D12" s="28"/>
      <c r="E12" s="28"/>
      <c r="F12" s="29"/>
      <c r="H12" s="32"/>
      <c r="I12" s="32"/>
    </row>
    <row r="13" spans="1:17" x14ac:dyDescent="0.3">
      <c r="B13" s="41" t="s">
        <v>71</v>
      </c>
      <c r="C13" s="28">
        <f xml:space="preserve"> SUMIFS(Balance[Solde N-1],Balance[Bucket], B13)</f>
        <v>1900</v>
      </c>
      <c r="D13" s="28">
        <f xml:space="preserve"> SUMIFS(Balance[Solde N],Balance[Bucket],B13)</f>
        <v>2200</v>
      </c>
      <c r="E13" s="28">
        <f t="shared" si="0"/>
        <v>300</v>
      </c>
      <c r="F13" s="29">
        <f t="shared" si="1"/>
        <v>0.15789473684210525</v>
      </c>
      <c r="H13" s="32"/>
      <c r="I13" s="32"/>
    </row>
    <row r="14" spans="1:17" ht="21" customHeight="1" x14ac:dyDescent="0.3">
      <c r="B14" s="42" t="s">
        <v>122</v>
      </c>
      <c r="C14" s="34">
        <f>C11-C13</f>
        <v>67700</v>
      </c>
      <c r="D14" s="34">
        <f>D11-D13</f>
        <v>77800</v>
      </c>
      <c r="E14" s="34">
        <f t="shared" si="0"/>
        <v>10100</v>
      </c>
      <c r="F14" s="35">
        <f t="shared" si="1"/>
        <v>0.14918759231905465</v>
      </c>
      <c r="H14" s="32"/>
      <c r="I14" s="32"/>
    </row>
    <row r="15" spans="1:17" x14ac:dyDescent="0.3">
      <c r="B15" s="41"/>
      <c r="C15" s="28"/>
      <c r="D15" s="28"/>
      <c r="E15" s="28"/>
      <c r="F15" s="29"/>
      <c r="H15" s="32"/>
      <c r="I15" s="32"/>
    </row>
    <row r="16" spans="1:17" x14ac:dyDescent="0.3">
      <c r="B16" s="41" t="s">
        <v>72</v>
      </c>
      <c r="C16" s="28">
        <f xml:space="preserve"> SUMIFS(Balance[Solde N-1],Balance[Bucket], B16)</f>
        <v>30700</v>
      </c>
      <c r="D16" s="28">
        <f xml:space="preserve"> SUMIFS(Balance[Solde N],Balance[Bucket],B16)</f>
        <v>34850</v>
      </c>
      <c r="E16" s="28">
        <f t="shared" si="0"/>
        <v>4150</v>
      </c>
      <c r="F16" s="29">
        <f t="shared" si="1"/>
        <v>0.13517915309446255</v>
      </c>
      <c r="H16" s="32"/>
      <c r="I16" s="32"/>
    </row>
    <row r="17" spans="2:9" ht="21" customHeight="1" x14ac:dyDescent="0.3">
      <c r="B17" s="42" t="s">
        <v>123</v>
      </c>
      <c r="C17" s="34">
        <f>C14-C16</f>
        <v>37000</v>
      </c>
      <c r="D17" s="34">
        <f>D14-D16</f>
        <v>42950</v>
      </c>
      <c r="E17" s="34">
        <f t="shared" si="0"/>
        <v>5950</v>
      </c>
      <c r="F17" s="35">
        <f t="shared" si="1"/>
        <v>0.16081081081081081</v>
      </c>
      <c r="H17" s="32"/>
      <c r="I17" s="32"/>
    </row>
    <row r="18" spans="2:9" x14ac:dyDescent="0.3">
      <c r="B18" s="41"/>
      <c r="C18" s="28"/>
      <c r="D18" s="28"/>
      <c r="E18" s="28"/>
      <c r="F18" s="29"/>
      <c r="H18" s="32"/>
      <c r="I18" s="32"/>
    </row>
    <row r="19" spans="2:9" x14ac:dyDescent="0.3">
      <c r="B19" s="41" t="s">
        <v>37</v>
      </c>
      <c r="C19" s="28">
        <f xml:space="preserve"> SUMIFS(Balance[Solde N-1],Balance[Bucket], B19)</f>
        <v>7100</v>
      </c>
      <c r="D19" s="28">
        <f xml:space="preserve"> SUMIFS(Balance[Solde N],Balance[Bucket],B19)</f>
        <v>9050</v>
      </c>
      <c r="E19" s="28">
        <f t="shared" si="0"/>
        <v>1950</v>
      </c>
      <c r="F19" s="29">
        <f t="shared" si="1"/>
        <v>0.27464788732394368</v>
      </c>
      <c r="H19" s="32"/>
      <c r="I19" s="32"/>
    </row>
    <row r="20" spans="2:9" ht="21" customHeight="1" x14ac:dyDescent="0.3">
      <c r="B20" s="42" t="s">
        <v>124</v>
      </c>
      <c r="C20" s="34">
        <f>C17-C19</f>
        <v>29900</v>
      </c>
      <c r="D20" s="34">
        <f>D17-D19</f>
        <v>33900</v>
      </c>
      <c r="E20" s="34">
        <f t="shared" si="0"/>
        <v>4000</v>
      </c>
      <c r="F20" s="35">
        <f t="shared" si="1"/>
        <v>0.13377926421404682</v>
      </c>
      <c r="H20" s="32"/>
      <c r="I20" s="32"/>
    </row>
    <row r="21" spans="2:9" x14ac:dyDescent="0.3">
      <c r="B21" s="41"/>
      <c r="C21" s="28"/>
      <c r="D21" s="28"/>
      <c r="E21" s="28"/>
      <c r="F21" s="29"/>
      <c r="H21" s="32"/>
      <c r="I21" s="32"/>
    </row>
    <row r="22" spans="2:9" x14ac:dyDescent="0.3">
      <c r="B22" s="41" t="s">
        <v>76</v>
      </c>
      <c r="C22" s="28">
        <f xml:space="preserve"> SUMIFS(Balance[Solde N-1],Balance[Bucket], B22)</f>
        <v>150</v>
      </c>
      <c r="D22" s="28">
        <f xml:space="preserve"> SUMIFS(Balance[Solde N],Balance[Bucket],B22)</f>
        <v>200</v>
      </c>
      <c r="E22" s="28">
        <f t="shared" si="0"/>
        <v>50</v>
      </c>
      <c r="F22" s="29">
        <f t="shared" si="1"/>
        <v>0.33333333333333331</v>
      </c>
      <c r="H22" s="32"/>
      <c r="I22" s="32"/>
    </row>
    <row r="23" spans="2:9" x14ac:dyDescent="0.3">
      <c r="B23" s="41" t="s">
        <v>73</v>
      </c>
      <c r="C23" s="28">
        <f xml:space="preserve"> SUMIFS(Balance[Solde N-1],Balance[Bucket], B23)</f>
        <v>2900</v>
      </c>
      <c r="D23" s="28">
        <f xml:space="preserve"> SUMIFS(Balance[Solde N],Balance[Bucket],B23)</f>
        <v>2200</v>
      </c>
      <c r="E23" s="28">
        <f t="shared" si="0"/>
        <v>-700</v>
      </c>
      <c r="F23" s="29">
        <f t="shared" si="1"/>
        <v>-0.2413793103448276</v>
      </c>
      <c r="H23" s="32"/>
      <c r="I23" s="32"/>
    </row>
    <row r="24" spans="2:9" ht="21" customHeight="1" x14ac:dyDescent="0.3">
      <c r="B24" s="42" t="s">
        <v>125</v>
      </c>
      <c r="C24" s="34">
        <f>C22-C23</f>
        <v>-2750</v>
      </c>
      <c r="D24" s="34">
        <f>D22-D23</f>
        <v>-2000</v>
      </c>
      <c r="E24" s="34">
        <f t="shared" si="0"/>
        <v>750</v>
      </c>
      <c r="F24" s="35">
        <f t="shared" si="1"/>
        <v>-0.27272727272727271</v>
      </c>
      <c r="H24" s="32"/>
      <c r="I24" s="32"/>
    </row>
    <row r="25" spans="2:9" x14ac:dyDescent="0.3">
      <c r="B25" s="28"/>
      <c r="C25" s="28"/>
      <c r="D25" s="28"/>
      <c r="E25" s="28"/>
      <c r="F25" s="29"/>
      <c r="H25" s="32"/>
      <c r="I25" s="32"/>
    </row>
    <row r="26" spans="2:9" ht="21" customHeight="1" x14ac:dyDescent="0.3">
      <c r="B26" s="42" t="s">
        <v>126</v>
      </c>
      <c r="C26" s="34">
        <f>C20+C24</f>
        <v>27150</v>
      </c>
      <c r="D26" s="34">
        <f>D20+D24</f>
        <v>31900</v>
      </c>
      <c r="E26" s="34">
        <f t="shared" si="0"/>
        <v>4750</v>
      </c>
      <c r="F26" s="35">
        <f t="shared" si="1"/>
        <v>0.17495395948434622</v>
      </c>
      <c r="H26" s="32"/>
      <c r="I26" s="32"/>
    </row>
    <row r="27" spans="2:9" x14ac:dyDescent="0.3">
      <c r="B27" s="41" t="s">
        <v>119</v>
      </c>
      <c r="C27" s="28">
        <f xml:space="preserve"> SUMIFS(Balance[Solde N-1],Balance[Bucket], B27)</f>
        <v>4100</v>
      </c>
      <c r="D27" s="28">
        <f xml:space="preserve"> SUMIFS(Balance[Solde N],Balance[Bucket],B27)</f>
        <v>5450</v>
      </c>
      <c r="E27" s="28">
        <f t="shared" si="0"/>
        <v>1350</v>
      </c>
      <c r="F27" s="29">
        <f t="shared" si="1"/>
        <v>0.32926829268292684</v>
      </c>
      <c r="H27" s="32"/>
      <c r="I27" s="32"/>
    </row>
    <row r="28" spans="2:9" x14ac:dyDescent="0.3">
      <c r="B28" s="41"/>
      <c r="C28" s="28"/>
      <c r="D28" s="28"/>
      <c r="E28" s="28"/>
      <c r="F28" s="29"/>
    </row>
    <row r="29" spans="2:9" ht="21" customHeight="1" x14ac:dyDescent="0.3">
      <c r="B29" s="44" t="s">
        <v>127</v>
      </c>
      <c r="C29" s="30">
        <f>C26-C27</f>
        <v>23050</v>
      </c>
      <c r="D29" s="30">
        <f>D26-D27</f>
        <v>26450</v>
      </c>
      <c r="E29" s="30">
        <f t="shared" si="0"/>
        <v>3400</v>
      </c>
      <c r="F29" s="31">
        <f t="shared" si="1"/>
        <v>0.1475054229934924</v>
      </c>
    </row>
    <row r="31" spans="2:9" x14ac:dyDescent="0.3">
      <c r="D31" s="27" t="s">
        <v>134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B1E5-37E9-4BB6-8CCD-F3166C8D2857}">
  <sheetPr codeName="Feuil8"/>
  <dimension ref="A1:N26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7" sqref="G27"/>
    </sheetView>
  </sheetViews>
  <sheetFormatPr baseColWidth="10" defaultRowHeight="17.25" outlineLevelCol="1" x14ac:dyDescent="0.3"/>
  <cols>
    <col min="1" max="1" width="6.7109375" style="27" customWidth="1"/>
    <col min="2" max="2" width="38.140625" style="27" customWidth="1"/>
    <col min="3" max="3" width="15.85546875" style="27" customWidth="1"/>
    <col min="4" max="4" width="15.7109375" style="27" customWidth="1"/>
    <col min="5" max="5" width="11.42578125" style="27"/>
    <col min="6" max="6" width="7" style="27" customWidth="1"/>
    <col min="7" max="7" width="35.5703125" style="27" bestFit="1" customWidth="1"/>
    <col min="8" max="9" width="14.7109375" style="27" customWidth="1"/>
    <col min="10" max="11" width="11.42578125" style="27"/>
    <col min="12" max="12" width="24" style="27" bestFit="1" customWidth="1" outlineLevel="1"/>
    <col min="13" max="14" width="11.42578125" style="27" customWidth="1" outlineLevel="1"/>
    <col min="15" max="16384" width="11.42578125" style="27"/>
  </cols>
  <sheetData>
    <row r="1" spans="1:14" ht="22.5" customHeight="1" x14ac:dyDescent="0.3">
      <c r="A1" s="36" t="s">
        <v>139</v>
      </c>
      <c r="F1" s="36" t="s">
        <v>198</v>
      </c>
    </row>
    <row r="2" spans="1:14" x14ac:dyDescent="0.3">
      <c r="B2" s="37" t="s">
        <v>263</v>
      </c>
    </row>
    <row r="4" spans="1:14" s="45" customFormat="1" ht="24" customHeight="1" x14ac:dyDescent="0.25">
      <c r="B4" s="45" t="s">
        <v>130</v>
      </c>
      <c r="C4" s="45" t="s">
        <v>115</v>
      </c>
      <c r="D4" s="45" t="s">
        <v>116</v>
      </c>
      <c r="G4" s="69" t="s">
        <v>136</v>
      </c>
      <c r="H4" s="70" t="s">
        <v>115</v>
      </c>
      <c r="I4" s="71" t="s">
        <v>116</v>
      </c>
    </row>
    <row r="5" spans="1:14" x14ac:dyDescent="0.3">
      <c r="B5" s="28" t="s">
        <v>144</v>
      </c>
      <c r="C5" s="28">
        <f>SUMIFS(Balance[Solde N-1],Balance[Bucket],"Immo_Brut")</f>
        <v>82000</v>
      </c>
      <c r="D5" s="28">
        <f>SUMIFS(Balance[Solde N],Balance[Bucket],"Immo_Brut")</f>
        <v>85800</v>
      </c>
      <c r="G5" s="27" t="s">
        <v>201</v>
      </c>
    </row>
    <row r="6" spans="1:14" x14ac:dyDescent="0.3">
      <c r="B6" s="27" t="s">
        <v>191</v>
      </c>
      <c r="C6" s="27">
        <f>SUMIFS(Balance[Solde N-1],Balance[Bucket],"Amortissements")</f>
        <v>25400</v>
      </c>
      <c r="D6" s="27">
        <f>SUMIFS(Balance[Solde N],Balance[Bucket],"Amortissements")</f>
        <v>34450</v>
      </c>
      <c r="G6" s="28" t="s">
        <v>199</v>
      </c>
      <c r="H6" s="28">
        <f>C9+C10+C11</f>
        <v>101450</v>
      </c>
      <c r="I6" s="28">
        <f>D9+D10+D11</f>
        <v>115400</v>
      </c>
      <c r="L6" s="51" t="s">
        <v>249</v>
      </c>
      <c r="M6" s="51">
        <f>(D10/'P&amp;L'!D5)*365</f>
        <v>46.490161001788906</v>
      </c>
    </row>
    <row r="7" spans="1:14" x14ac:dyDescent="0.3">
      <c r="B7" s="27" t="s">
        <v>143</v>
      </c>
      <c r="C7" s="27">
        <f>C5-C6</f>
        <v>56600</v>
      </c>
      <c r="D7" s="27">
        <f>D5-D6</f>
        <v>51350</v>
      </c>
      <c r="G7" s="28" t="s">
        <v>200</v>
      </c>
      <c r="H7" s="28">
        <f>C21+C22</f>
        <v>30800</v>
      </c>
      <c r="I7" s="28">
        <f>D21+D22</f>
        <v>37600</v>
      </c>
      <c r="L7" s="51" t="s">
        <v>250</v>
      </c>
      <c r="M7" s="51">
        <f>(D9/'P&amp;L'!D6)*365</f>
        <v>48.449404761904759</v>
      </c>
    </row>
    <row r="8" spans="1:14" x14ac:dyDescent="0.3">
      <c r="G8" s="46" t="s">
        <v>195</v>
      </c>
      <c r="H8" s="74">
        <f>H6/H7</f>
        <v>3.293831168831169</v>
      </c>
      <c r="I8" s="74">
        <f>I6/I7</f>
        <v>3.0691489361702127</v>
      </c>
      <c r="L8" s="51" t="s">
        <v>251</v>
      </c>
      <c r="M8" s="51">
        <f>(D21/'P&amp;L'!D6)*365</f>
        <v>58.226190476190474</v>
      </c>
    </row>
    <row r="9" spans="1:14" x14ac:dyDescent="0.3">
      <c r="B9" s="28" t="s">
        <v>60</v>
      </c>
      <c r="C9" s="28">
        <f>SUMIFS(Balance[Solde N-1],Balance[Bucket],"Stocks")</f>
        <v>18500</v>
      </c>
      <c r="D9" s="28">
        <f>SUMIFS(Balance[Solde N],Balance[Bucket],"Stocks")</f>
        <v>22300</v>
      </c>
      <c r="G9" s="28"/>
      <c r="H9" s="28"/>
      <c r="I9" s="28"/>
    </row>
    <row r="10" spans="1:14" x14ac:dyDescent="0.3">
      <c r="B10" s="27" t="s">
        <v>146</v>
      </c>
      <c r="C10" s="27">
        <f>SUMIFS(Balance[Solde N-1],Balance[Bucket],"Creances_Clients")</f>
        <v>28900</v>
      </c>
      <c r="D10" s="27">
        <f>SUMIFS(Balance[Solde N],Balance[Bucket],"Creances_Clients")</f>
        <v>35600</v>
      </c>
      <c r="G10" s="34" t="s">
        <v>202</v>
      </c>
      <c r="H10" s="34"/>
      <c r="I10" s="34"/>
      <c r="L10" s="27" t="s">
        <v>221</v>
      </c>
    </row>
    <row r="11" spans="1:14" x14ac:dyDescent="0.3">
      <c r="B11" s="28" t="s">
        <v>145</v>
      </c>
      <c r="C11" s="28">
        <f>SUMIFS(Balance[Solde N-1],Balance[Bucket],"Tresorerie_Actif")</f>
        <v>54050</v>
      </c>
      <c r="D11" s="28">
        <f>SUMIFS(Balance[Solde N],Balance[Bucket],"Tresorerie_Actif")</f>
        <v>57500</v>
      </c>
      <c r="G11" s="28" t="s">
        <v>207</v>
      </c>
      <c r="H11" s="28">
        <f>C10</f>
        <v>28900</v>
      </c>
      <c r="I11" s="28">
        <f>D10</f>
        <v>35600</v>
      </c>
      <c r="L11" s="27" t="str">
        <f>IF(Tableau7[[#This Row],[N]]=Tableau7[[#This Row],[N-1]],"─ 0 (0,0%)",IF(Tableau7[[#This Row],[N-1]]=0,"▲ +"&amp;TEXT(Tableau7[[#This Row],[N]]-Tableau7[[#This Row],[N-1]],"# ##0")&amp;" (N/A)",IF(Tableau7[[#This Row],[N]]&gt;Tableau7[[#This Row],[N-1]],"▲ +"&amp;TEXT(Tableau7[[#This Row],[N]]-Tableau7[[#This Row],[N-1]],"# ##0")&amp;" ("&amp;TEXT((Tableau7[[#This Row],[N]]-Tableau7[[#This Row],[N-1]])/Tableau7[[#This Row],[N-1]],"+0,0%")&amp;")","▼ "&amp;TEXT(Tableau7[[#This Row],[N]]-Tableau7[[#This Row],[N-1]],"# ##0")&amp;" ("&amp;TEXT((Tableau7[[#This Row],[N]]-Tableau7[[#This Row],[N-1]])/Tableau7[[#This Row],[N-1]],"0,0%")&amp;")")))</f>
        <v>▲ +3 450 (+6,4%)</v>
      </c>
    </row>
    <row r="12" spans="1:14" x14ac:dyDescent="0.3">
      <c r="G12" s="28" t="s">
        <v>206</v>
      </c>
      <c r="H12" s="28">
        <f>C11</f>
        <v>54050</v>
      </c>
      <c r="I12" s="28">
        <f>D11</f>
        <v>57500</v>
      </c>
    </row>
    <row r="13" spans="1:14" x14ac:dyDescent="0.3">
      <c r="B13" s="30" t="s">
        <v>142</v>
      </c>
      <c r="C13" s="30">
        <f>C7+SUM(C9:C11)</f>
        <v>158050</v>
      </c>
      <c r="D13" s="30">
        <f>D7+SUM(D9:D11)</f>
        <v>166750</v>
      </c>
      <c r="G13" s="28" t="s">
        <v>200</v>
      </c>
      <c r="H13" s="28">
        <f>H7</f>
        <v>30800</v>
      </c>
      <c r="I13" s="28">
        <f>I7</f>
        <v>37600</v>
      </c>
      <c r="L13" s="27" t="s">
        <v>220</v>
      </c>
    </row>
    <row r="14" spans="1:14" x14ac:dyDescent="0.3">
      <c r="G14" s="46" t="s">
        <v>196</v>
      </c>
      <c r="H14" s="74">
        <f>(H11+H12)/H13</f>
        <v>2.6931818181818183</v>
      </c>
      <c r="I14" s="74">
        <f>(I11+I12)/I13</f>
        <v>2.4760638297872339</v>
      </c>
      <c r="L14" s="27" t="str">
        <f>IF(Tableau15[[#This Row],[N]]=Tableau15[[#This Row],[N-1]],"─ 0 (0,0%)",IF(Tableau15[[#This Row],[N-1]]=0,"▲ +"&amp;TEXT(Tableau15[[#This Row],[N]]-Tableau15[[#This Row],[N-1]],"0,0")&amp;" (N/A)",IF(Tableau15[[#This Row],[N]]&gt;Tableau15[[#This Row],[N-1]],"▲ +"&amp;TEXT(Tableau15[[#This Row],[N]]-Tableau15[[#This Row],[N-1]],"0,0")&amp;" ("&amp;TEXT((Tableau15[[#This Row],[N]]-Tableau15[[#This Row],[N-1]])/Tableau15[[#This Row],[N-1]],"+0,0%")&amp;")","▼ "&amp;TEXT(Tableau15[[#This Row],[N]]-Tableau15[[#This Row],[N-1]],"0,0")&amp;" ("&amp;TEXT((Tableau15[[#This Row],[N]]-Tableau15[[#This Row],[N-1]])/Tableau15[[#This Row],[N-1]],"0,0%")&amp;")")))</f>
        <v>▼ -0,2 (-8,1%)</v>
      </c>
      <c r="N14" s="78"/>
    </row>
    <row r="15" spans="1:14" x14ac:dyDescent="0.3">
      <c r="G15" s="28"/>
      <c r="H15" s="28"/>
      <c r="I15" s="28"/>
      <c r="N15" s="78"/>
    </row>
    <row r="16" spans="1:14" s="45" customFormat="1" ht="24" customHeight="1" x14ac:dyDescent="0.3">
      <c r="B16" s="45" t="s">
        <v>129</v>
      </c>
      <c r="C16" s="45" t="s">
        <v>115</v>
      </c>
      <c r="D16" s="45" t="s">
        <v>116</v>
      </c>
      <c r="G16" s="34" t="s">
        <v>203</v>
      </c>
      <c r="H16" s="73"/>
      <c r="I16" s="73"/>
    </row>
    <row r="17" spans="2:12" x14ac:dyDescent="0.3">
      <c r="B17" s="28" t="s">
        <v>62</v>
      </c>
      <c r="C17" s="28">
        <f>SUMIFS(Balance[Solde N-1],Balance[Bucket],"Capitaux_Propres")</f>
        <v>72200</v>
      </c>
      <c r="D17" s="28">
        <f>SUMIFS(Balance[Solde N],Balance[Bucket],"Capitaux_Propres")</f>
        <v>78700</v>
      </c>
      <c r="G17" s="72" t="s">
        <v>205</v>
      </c>
      <c r="H17" s="28">
        <f>C11</f>
        <v>54050</v>
      </c>
      <c r="I17" s="28">
        <f>D11</f>
        <v>57500</v>
      </c>
      <c r="L17" s="27" t="s">
        <v>226</v>
      </c>
    </row>
    <row r="18" spans="2:12" x14ac:dyDescent="0.3">
      <c r="B18" s="27" t="s">
        <v>147</v>
      </c>
      <c r="C18" s="27">
        <f>'P&amp;L'!C29</f>
        <v>23050</v>
      </c>
      <c r="D18" s="27">
        <f>'P&amp;L'!D29</f>
        <v>26450</v>
      </c>
      <c r="G18" s="28" t="s">
        <v>200</v>
      </c>
      <c r="H18" s="28">
        <f>H13</f>
        <v>30800</v>
      </c>
      <c r="I18" s="28">
        <f>I13</f>
        <v>37600</v>
      </c>
      <c r="L18" s="27" t="str">
        <f>IF(D19=C19,"─ 0 (0,0%)",IF(C19=0,"▲ +"&amp;TEXT(D19-C19,"# ##0")&amp;" (N/A)",IF(D19&gt;C19,"▲ +"&amp;TEXT(D19-C19,"# ##0")&amp;" ("&amp;TEXT((D19-C19)/C19,"+0,0%")&amp;")","▼ "&amp;TEXT(D19-C19,"# ##0")&amp;" ("&amp;TEXT((D19-C19)/C19,"0,0%")&amp;")")))</f>
        <v>▼ -8 000 (-25,0%)</v>
      </c>
    </row>
    <row r="19" spans="2:12" x14ac:dyDescent="0.3">
      <c r="B19" s="28" t="s">
        <v>63</v>
      </c>
      <c r="C19" s="28">
        <f>SUMIFS(Balance[Solde N-1],Balance[Bucket],"Dettes_Financieres")</f>
        <v>32000</v>
      </c>
      <c r="D19" s="28">
        <f>SUMIFS(Balance[Solde N],Balance[Bucket],"Dettes_Financieres")</f>
        <v>24000</v>
      </c>
      <c r="G19" s="30" t="s">
        <v>204</v>
      </c>
      <c r="H19" s="75">
        <f>H17/H18</f>
        <v>1.7548701298701299</v>
      </c>
      <c r="I19" s="75">
        <f>I17/I18</f>
        <v>1.5292553191489362</v>
      </c>
    </row>
    <row r="21" spans="2:12" x14ac:dyDescent="0.3">
      <c r="B21" s="28" t="s">
        <v>65</v>
      </c>
      <c r="C21" s="28">
        <f>SUMIFS(Balance[Solde N-1],Balance[Bucket],"Dettes_Fournisseurs")</f>
        <v>21400</v>
      </c>
      <c r="D21" s="28">
        <f>SUMIFS(Balance[Solde N],Balance[Bucket],"Dettes_Fournisseurs")</f>
        <v>26800</v>
      </c>
    </row>
    <row r="22" spans="2:12" x14ac:dyDescent="0.3">
      <c r="B22" s="27" t="s">
        <v>67</v>
      </c>
      <c r="C22" s="27">
        <f>SUMIFS(Balance[Solde N-1],Balance[Bucket],"Dettes_Sociales_Fiscales")</f>
        <v>9400</v>
      </c>
      <c r="D22" s="27">
        <f>SUMIFS(Balance[Solde N],Balance[Bucket],"Dettes_Sociales_Fiscales")</f>
        <v>10800</v>
      </c>
    </row>
    <row r="23" spans="2:12" x14ac:dyDescent="0.3">
      <c r="B23" s="28"/>
      <c r="C23" s="28"/>
      <c r="D23" s="28"/>
    </row>
    <row r="24" spans="2:12" x14ac:dyDescent="0.3">
      <c r="B24" s="46" t="s">
        <v>252</v>
      </c>
      <c r="C24" s="46">
        <f>SUM(C17:C19,C21:C22)</f>
        <v>158050</v>
      </c>
      <c r="D24" s="46">
        <f>SUM(D17:D19,D21:D22)</f>
        <v>166750</v>
      </c>
    </row>
    <row r="26" spans="2:12" x14ac:dyDescent="0.3">
      <c r="B26" s="48" t="s">
        <v>168</v>
      </c>
      <c r="C26" s="47">
        <f>C13-C24</f>
        <v>0</v>
      </c>
      <c r="D26" s="47">
        <f>D13-D24</f>
        <v>0</v>
      </c>
    </row>
  </sheetData>
  <conditionalFormatting sqref="C26:D26">
    <cfRule type="cellIs" dxfId="16" priority="7" operator="lessThan">
      <formula>0</formula>
    </cfRule>
    <cfRule type="cellIs" dxfId="15" priority="8" operator="greaterThan">
      <formula>0</formula>
    </cfRule>
    <cfRule type="cellIs" dxfId="14" priority="9" operator="equal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CFDB-1973-414A-87D2-7229C1598EB2}">
  <sheetPr codeName="Feuil9"/>
  <dimension ref="A1:N37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baseColWidth="10" defaultRowHeight="17.25" outlineLevelRow="1" outlineLevelCol="1" x14ac:dyDescent="0.3"/>
  <cols>
    <col min="1" max="1" width="7.7109375" style="27" customWidth="1"/>
    <col min="2" max="2" width="56.42578125" style="27" bestFit="1" customWidth="1"/>
    <col min="3" max="4" width="13.7109375" style="27" customWidth="1"/>
    <col min="5" max="5" width="11.42578125" style="27"/>
    <col min="6" max="6" width="7.7109375" style="27" customWidth="1"/>
    <col min="7" max="7" width="46.42578125" style="27" bestFit="1" customWidth="1"/>
    <col min="8" max="9" width="13.7109375" style="27" customWidth="1"/>
    <col min="10" max="10" width="11.42578125" style="27"/>
    <col min="11" max="14" width="11.42578125" style="27" customWidth="1" outlineLevel="1"/>
    <col min="15" max="16384" width="11.42578125" style="27"/>
  </cols>
  <sheetData>
    <row r="1" spans="1:12" ht="23.25" customHeight="1" x14ac:dyDescent="0.3">
      <c r="A1" s="36" t="s">
        <v>260</v>
      </c>
      <c r="F1" s="36"/>
    </row>
    <row r="2" spans="1:12" x14ac:dyDescent="0.3">
      <c r="B2" s="37" t="s">
        <v>259</v>
      </c>
    </row>
    <row r="4" spans="1:12" x14ac:dyDescent="0.3">
      <c r="A4" s="30" t="s">
        <v>160</v>
      </c>
    </row>
    <row r="5" spans="1:12" ht="18" thickBot="1" x14ac:dyDescent="0.35">
      <c r="B5" s="52" t="s">
        <v>266</v>
      </c>
      <c r="C5" s="53"/>
      <c r="D5" s="53"/>
    </row>
    <row r="6" spans="1:12" ht="18" thickTop="1" x14ac:dyDescent="0.3">
      <c r="B6" s="47" t="s">
        <v>150</v>
      </c>
      <c r="C6" s="47">
        <f>Balance!F30*0.7</f>
        <v>4200</v>
      </c>
      <c r="D6" s="47">
        <f>Balance!G30*0.7</f>
        <v>4200</v>
      </c>
    </row>
    <row r="7" spans="1:12" x14ac:dyDescent="0.3">
      <c r="B7" s="51" t="s">
        <v>151</v>
      </c>
      <c r="C7" s="51">
        <f>Balance!F30*0.3</f>
        <v>1800</v>
      </c>
      <c r="D7" s="51">
        <f>Balance!G30*0.3</f>
        <v>1800</v>
      </c>
      <c r="F7" s="30" t="s">
        <v>208</v>
      </c>
    </row>
    <row r="8" spans="1:12" x14ac:dyDescent="0.3">
      <c r="A8" s="30"/>
    </row>
    <row r="9" spans="1:12" ht="23.25" customHeight="1" x14ac:dyDescent="0.3">
      <c r="B9" s="45" t="s">
        <v>136</v>
      </c>
      <c r="C9" s="45" t="s">
        <v>115</v>
      </c>
      <c r="D9" s="45" t="s">
        <v>116</v>
      </c>
      <c r="G9" s="45" t="s">
        <v>136</v>
      </c>
      <c r="H9" s="45" t="s">
        <v>115</v>
      </c>
      <c r="I9" s="45" t="s">
        <v>116</v>
      </c>
    </row>
    <row r="10" spans="1:12" x14ac:dyDescent="0.3">
      <c r="B10" s="27" t="s">
        <v>149</v>
      </c>
      <c r="C10" s="27">
        <f>'P&amp;L'!C17</f>
        <v>37000</v>
      </c>
      <c r="D10" s="27">
        <f>'P&amp;L'!D17</f>
        <v>42950</v>
      </c>
      <c r="G10" s="28" t="s">
        <v>212</v>
      </c>
      <c r="H10" s="28">
        <f>C12</f>
        <v>43000</v>
      </c>
      <c r="I10" s="28">
        <f>D12</f>
        <v>48950</v>
      </c>
      <c r="K10" s="27" t="s">
        <v>222</v>
      </c>
    </row>
    <row r="11" spans="1:12" x14ac:dyDescent="0.3">
      <c r="B11" s="49" t="s">
        <v>148</v>
      </c>
      <c r="C11" s="28">
        <f>Balance!F30</f>
        <v>6000</v>
      </c>
      <c r="D11" s="28">
        <f>Balance!G30</f>
        <v>6000</v>
      </c>
      <c r="G11" s="28" t="s">
        <v>209</v>
      </c>
      <c r="H11" s="28">
        <f>'P&amp;L'!C5</f>
        <v>236000</v>
      </c>
      <c r="I11" s="28">
        <f>'P&amp;L'!D5</f>
        <v>279500</v>
      </c>
      <c r="K11" s="77">
        <f>H12</f>
        <v>0.18220338983050846</v>
      </c>
      <c r="L11" s="77">
        <f>I12</f>
        <v>0.17513416815742397</v>
      </c>
    </row>
    <row r="12" spans="1:12" x14ac:dyDescent="0.3">
      <c r="B12" s="27" t="s">
        <v>215</v>
      </c>
      <c r="C12" s="27">
        <f>C10+C11</f>
        <v>43000</v>
      </c>
      <c r="D12" s="27">
        <f>D10+D11</f>
        <v>48950</v>
      </c>
      <c r="G12" s="30" t="s">
        <v>210</v>
      </c>
      <c r="H12" s="76">
        <f>H10/H11</f>
        <v>0.18220338983050846</v>
      </c>
      <c r="I12" s="76">
        <f>I10/I11</f>
        <v>0.17513416815742397</v>
      </c>
      <c r="K12" s="27" t="str">
        <f>IF(Tableau18[[#This Row],[N]]=Tableau18[[#This Row],[N-1]],"─ 0 (0,0%)",IF(Tableau18[[#This Row],[N-1]]=0,"▲ +"&amp;TEXT(Tableau18[[#This Row],[N]]-Tableau18[[#This Row],[N-1]],"0,0%")&amp;" (N/A)",IF(Tableau18[[#This Row],[N]]&gt;Tableau18[[#This Row],[N-1]],"▲ +"&amp;TEXT(Tableau18[[#This Row],[N]]-Tableau18[[#This Row],[N-1]],"0,0%")&amp;" ("&amp;TEXT((Tableau18[[#This Row],[N]]-Tableau18[[#This Row],[N-1]])/Tableau18[[#This Row],[N-1]],"+0,0%")&amp;")","▼ "&amp;TEXT(Tableau18[[#This Row],[N]]-Tableau18[[#This Row],[N-1]],"0,0%")&amp;" ("&amp;TEXT((Tableau18[[#This Row],[N]]-Tableau18[[#This Row],[N-1]])/Tableau18[[#This Row],[N-1]],"0,0%")&amp;")")))</f>
        <v>▼ -0,7% (-3,9%)</v>
      </c>
    </row>
    <row r="13" spans="1:12" hidden="1" outlineLevel="1" x14ac:dyDescent="0.3">
      <c r="B13" s="28"/>
      <c r="C13" s="28"/>
      <c r="D13" s="28"/>
    </row>
    <row r="14" spans="1:12" hidden="1" outlineLevel="1" x14ac:dyDescent="0.3">
      <c r="B14" s="28" t="s">
        <v>156</v>
      </c>
      <c r="C14" s="28">
        <f>'P&amp;L'!C19+C6</f>
        <v>11300</v>
      </c>
      <c r="D14" s="28">
        <f>'P&amp;L'!D19+D6</f>
        <v>13250</v>
      </c>
      <c r="G14" s="27" t="s">
        <v>76</v>
      </c>
      <c r="H14" s="27">
        <v>150</v>
      </c>
      <c r="I14" s="27">
        <v>200</v>
      </c>
    </row>
    <row r="15" spans="1:12" hidden="1" outlineLevel="1" x14ac:dyDescent="0.3">
      <c r="B15" s="34" t="s">
        <v>153</v>
      </c>
      <c r="C15" s="34">
        <f>C12-C14</f>
        <v>31700</v>
      </c>
      <c r="D15" s="34">
        <f>D12-D14</f>
        <v>35700</v>
      </c>
      <c r="G15" s="27" t="s">
        <v>154</v>
      </c>
      <c r="H15" s="27">
        <v>4700</v>
      </c>
      <c r="I15" s="27">
        <v>4000</v>
      </c>
    </row>
    <row r="16" spans="1:12" hidden="1" outlineLevel="1" x14ac:dyDescent="0.3">
      <c r="B16" s="28"/>
      <c r="C16" s="28"/>
      <c r="D16" s="28"/>
      <c r="G16" s="27" t="s">
        <v>155</v>
      </c>
      <c r="H16" s="27">
        <v>-4550</v>
      </c>
      <c r="I16" s="27">
        <v>-3800</v>
      </c>
    </row>
    <row r="17" spans="1:12" hidden="1" outlineLevel="1" x14ac:dyDescent="0.3">
      <c r="B17" s="28" t="str">
        <f>'P&amp;L'!B22</f>
        <v>Produits_Financiers</v>
      </c>
      <c r="C17" s="28">
        <f>'P&amp;L'!C22</f>
        <v>150</v>
      </c>
      <c r="D17" s="28">
        <f>'P&amp;L'!D22</f>
        <v>200</v>
      </c>
    </row>
    <row r="18" spans="1:12" hidden="1" outlineLevel="1" x14ac:dyDescent="0.3">
      <c r="B18" s="28" t="s">
        <v>154</v>
      </c>
      <c r="C18" s="28">
        <f>'P&amp;L'!C23+C7</f>
        <v>4700</v>
      </c>
      <c r="D18" s="28">
        <f>'P&amp;L'!D23+D7</f>
        <v>4000</v>
      </c>
      <c r="G18" s="27" t="s">
        <v>126</v>
      </c>
      <c r="H18" s="27">
        <v>27150</v>
      </c>
      <c r="I18" s="27">
        <v>31900</v>
      </c>
    </row>
    <row r="19" spans="1:12" hidden="1" outlineLevel="1" x14ac:dyDescent="0.3">
      <c r="B19" s="34" t="s">
        <v>155</v>
      </c>
      <c r="C19" s="34">
        <f>C17-C18</f>
        <v>-4550</v>
      </c>
      <c r="D19" s="34">
        <f>D17-D18</f>
        <v>-3800</v>
      </c>
      <c r="G19" s="27" t="s">
        <v>119</v>
      </c>
      <c r="H19" s="27">
        <v>4100</v>
      </c>
      <c r="I19" s="27">
        <v>5450</v>
      </c>
    </row>
    <row r="20" spans="1:12" hidden="1" outlineLevel="1" x14ac:dyDescent="0.3">
      <c r="B20" s="28"/>
      <c r="C20" s="28"/>
      <c r="D20" s="28"/>
    </row>
    <row r="21" spans="1:12" hidden="1" outlineLevel="1" x14ac:dyDescent="0.3">
      <c r="B21" s="34" t="str">
        <f>'P&amp;L'!B26</f>
        <v>RESULTAT AVANT-IMPOT</v>
      </c>
      <c r="C21" s="34">
        <f>C15+C19</f>
        <v>27150</v>
      </c>
      <c r="D21" s="34">
        <f>D15+D19</f>
        <v>31900</v>
      </c>
      <c r="G21" s="27" t="s">
        <v>152</v>
      </c>
      <c r="H21" s="27">
        <v>23050</v>
      </c>
      <c r="I21" s="27">
        <v>26450</v>
      </c>
    </row>
    <row r="22" spans="1:12" hidden="1" outlineLevel="1" x14ac:dyDescent="0.3">
      <c r="B22" s="28" t="str">
        <f>'P&amp;L'!B27</f>
        <v>Impot_Resultat</v>
      </c>
      <c r="C22" s="28">
        <f>'P&amp;L'!C27</f>
        <v>4100</v>
      </c>
      <c r="D22" s="28">
        <f>'P&amp;L'!D27</f>
        <v>5450</v>
      </c>
    </row>
    <row r="23" spans="1:12" collapsed="1" x14ac:dyDescent="0.3">
      <c r="B23" s="28"/>
      <c r="C23" s="28"/>
      <c r="D23" s="28"/>
      <c r="K23" s="27" t="s">
        <v>224</v>
      </c>
    </row>
    <row r="24" spans="1:12" x14ac:dyDescent="0.3">
      <c r="B24" s="30" t="s">
        <v>152</v>
      </c>
      <c r="C24" s="30">
        <f>C21-C22</f>
        <v>23050</v>
      </c>
      <c r="D24" s="30">
        <f>D21-D22</f>
        <v>26450</v>
      </c>
      <c r="K24" s="27">
        <f>Tableau9[[#This Row],[N-1]]</f>
        <v>23050</v>
      </c>
      <c r="L24" s="27">
        <f>Tableau9[[#This Row],[N]]</f>
        <v>26450</v>
      </c>
    </row>
    <row r="25" spans="1:12" hidden="1" outlineLevel="1" x14ac:dyDescent="0.3"/>
    <row r="26" spans="1:12" hidden="1" outlineLevel="1" x14ac:dyDescent="0.3">
      <c r="B26" s="27" t="s">
        <v>157</v>
      </c>
      <c r="C26" s="27">
        <f>'P&amp;L'!C29</f>
        <v>23050</v>
      </c>
      <c r="D26" s="27">
        <f>'P&amp;L'!D29</f>
        <v>26450</v>
      </c>
    </row>
    <row r="27" spans="1:12" collapsed="1" x14ac:dyDescent="0.3">
      <c r="K27" s="27" t="str">
        <f>IF(D24=C24,"─ 0 (0,0%)",IF(C24=0,"▲ +"&amp;TEXT(D24-C24,"# ##0")&amp;" (N/A)",IF(D24&gt;C24,"▲ +"&amp;TEXT(D24-C24,"# ##0")&amp;" ("&amp;TEXT((D24-C24)/C24,"+0,0%")&amp;")","▼ "&amp;TEXT(D24-C24,"# ##0")&amp;" ("&amp;TEXT((D24-C24)/C24,"0,0%")&amp;")")))</f>
        <v>▲ +3 400 (+14,8%)</v>
      </c>
    </row>
    <row r="28" spans="1:12" x14ac:dyDescent="0.3">
      <c r="B28" s="48" t="s">
        <v>158</v>
      </c>
      <c r="C28" s="47">
        <f>C24-C26</f>
        <v>0</v>
      </c>
      <c r="D28" s="47">
        <f>D24-D26</f>
        <v>0</v>
      </c>
    </row>
    <row r="29" spans="1:12" x14ac:dyDescent="0.3">
      <c r="K29" s="27" t="s">
        <v>228</v>
      </c>
    </row>
    <row r="30" spans="1:12" x14ac:dyDescent="0.3">
      <c r="A30" s="30" t="s">
        <v>159</v>
      </c>
      <c r="F30" s="30" t="s">
        <v>211</v>
      </c>
      <c r="K30" s="27" t="str">
        <f>IF(D12=C12,"─ 0 (0,0%)",IF(C12=0,"▲ +"&amp;TEXT(D12-C12,"# ##0")&amp;" (N/A)",IF(D12&gt;C12,"▲ +"&amp;TEXT(D12-C12,"# ##0")&amp;" ("&amp;TEXT((D12-C12)/C12,"+0,0%")&amp;")","▼ "&amp;TEXT(D12-C12,"# ##0")&amp;" ("&amp;TEXT((D12-C12)/C12,"0,0%")&amp;")")))</f>
        <v>▲ +5 950 (+13,8%)</v>
      </c>
    </row>
    <row r="32" spans="1:12" s="45" customFormat="1" ht="24" customHeight="1" x14ac:dyDescent="0.25">
      <c r="B32" s="45" t="s">
        <v>136</v>
      </c>
      <c r="C32" s="45" t="s">
        <v>115</v>
      </c>
      <c r="D32" s="45" t="s">
        <v>116</v>
      </c>
      <c r="G32" s="45" t="s">
        <v>136</v>
      </c>
      <c r="H32" s="45" t="s">
        <v>115</v>
      </c>
      <c r="I32" s="45" t="s">
        <v>116</v>
      </c>
    </row>
    <row r="33" spans="2:12" x14ac:dyDescent="0.3">
      <c r="B33" s="28" t="s">
        <v>161</v>
      </c>
      <c r="C33" s="28">
        <f>SUMIFS(Balance[Solde N-1],Balance[Bucket],"Consommations")</f>
        <v>25300</v>
      </c>
      <c r="D33" s="28">
        <f>SUMIFS(Balance[Solde N],Balance[Bucket],"Consommations")</f>
        <v>32650</v>
      </c>
      <c r="G33" s="28" t="s">
        <v>213</v>
      </c>
      <c r="H33" s="28">
        <f>C37</f>
        <v>39100</v>
      </c>
      <c r="I33" s="28">
        <f>D37</f>
        <v>47450</v>
      </c>
      <c r="K33" s="27" t="s">
        <v>223</v>
      </c>
    </row>
    <row r="34" spans="2:12" x14ac:dyDescent="0.3">
      <c r="B34" s="46" t="s">
        <v>162</v>
      </c>
      <c r="C34" s="46">
        <f>C33-SUMIFS(Balance[Solde N-1],Balance[N° Compte],"622")</f>
        <v>16900</v>
      </c>
      <c r="D34" s="46">
        <f>D33-SUMIFS(Balance[Solde N],Balance[N° Compte],"622")</f>
        <v>20050</v>
      </c>
      <c r="G34" s="28" t="s">
        <v>209</v>
      </c>
      <c r="H34" s="28">
        <f>'P&amp;L'!C5</f>
        <v>236000</v>
      </c>
      <c r="I34" s="28">
        <f>'P&amp;L'!D5</f>
        <v>279500</v>
      </c>
      <c r="K34" s="77">
        <f>H35</f>
        <v>0.16567796610169491</v>
      </c>
      <c r="L34" s="77">
        <f>I35</f>
        <v>0.16976744186046511</v>
      </c>
    </row>
    <row r="35" spans="2:12" x14ac:dyDescent="0.3">
      <c r="B35" s="28"/>
      <c r="C35" s="28"/>
      <c r="D35" s="28"/>
      <c r="G35" s="30" t="s">
        <v>214</v>
      </c>
      <c r="H35" s="76">
        <f>H33/H34</f>
        <v>0.16567796610169491</v>
      </c>
      <c r="I35" s="76">
        <f>I33/I34</f>
        <v>0.16976744186046511</v>
      </c>
      <c r="K35" s="27" t="str">
        <f>IF(Tableau20[[#This Row],[N]]=Tableau20[[#This Row],[N-1]],"─ 0 (0,0%)",IF(Tableau20[[#This Row],[N-1]]=0,"▲ +"&amp;TEXT(Tableau20[[#This Row],[N]]-Tableau20[[#This Row],[N-1]],"0,0%")&amp;" (N/A)",IF(Tableau20[[#This Row],[N]]&gt;Tableau20[[#This Row],[N-1]],"▲ +"&amp;TEXT(Tableau20[[#This Row],[N]]-Tableau20[[#This Row],[N-1]],"0,0%")&amp;" ("&amp;TEXT((Tableau20[[#This Row],[N]]-Tableau20[[#This Row],[N-1]])/Tableau20[[#This Row],[N-1]],"+0,0%")&amp;")","▼ "&amp;TEXT(Tableau20[[#This Row],[N]]-Tableau20[[#This Row],[N-1]],"0,0%")&amp;" ("&amp;TEXT((Tableau20[[#This Row],[N]]-Tableau20[[#This Row],[N-1]])/Tableau20[[#This Row],[N-1]],"0,0%")&amp;")")))</f>
        <v>▲ +0,4% (+2,5%)</v>
      </c>
    </row>
    <row r="36" spans="2:12" x14ac:dyDescent="0.3">
      <c r="B36" s="27" t="s">
        <v>163</v>
      </c>
      <c r="C36" s="27">
        <f>SUMIFS(Balance[Solde N-1],Balance[Bucket],"Charges_Personnel")</f>
        <v>30700</v>
      </c>
      <c r="D36" s="27">
        <f>SUMIFS(Balance[Solde N],Balance[Bucket],"Charges_Personnel")</f>
        <v>34850</v>
      </c>
    </row>
    <row r="37" spans="2:12" x14ac:dyDescent="0.3">
      <c r="B37" s="30" t="s">
        <v>164</v>
      </c>
      <c r="C37" s="30">
        <f>C36+SUMIFS(Balance[Solde N-1],Balance[N° Compte],"622")</f>
        <v>39100</v>
      </c>
      <c r="D37" s="30">
        <f>D36+SUMIFS(Balance[Solde N],Balance[N° Compte],"622")</f>
        <v>47450</v>
      </c>
    </row>
  </sheetData>
  <conditionalFormatting sqref="C28:D28">
    <cfRule type="cellIs" dxfId="13" priority="6" operator="lessThan">
      <formula>0</formula>
    </cfRule>
    <cfRule type="cellIs" dxfId="12" priority="7" operator="greaterThan">
      <formula>0</formula>
    </cfRule>
    <cfRule type="cellIs" dxfId="11" priority="8" operator="equal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1EAF-8C5D-4CB8-ADC6-BC000BCE2A1F}">
  <sheetPr codeName="Feuil10"/>
  <dimension ref="A1:I17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3" sqref="F23"/>
    </sheetView>
  </sheetViews>
  <sheetFormatPr baseColWidth="10" defaultRowHeight="17.25" outlineLevelCol="1" x14ac:dyDescent="0.3"/>
  <cols>
    <col min="1" max="1" width="7.28515625" style="27" customWidth="1"/>
    <col min="2" max="2" width="37.5703125" style="27" customWidth="1"/>
    <col min="3" max="4" width="14.42578125" style="27" customWidth="1"/>
    <col min="5" max="6" width="11.42578125" style="27"/>
    <col min="7" max="7" width="36" style="27" hidden="1" customWidth="1" outlineLevel="1"/>
    <col min="8" max="8" width="0" style="27" hidden="1" customWidth="1" outlineLevel="1"/>
    <col min="9" max="9" width="11.42578125" style="27" collapsed="1"/>
    <col min="10" max="16384" width="11.42578125" style="27"/>
  </cols>
  <sheetData>
    <row r="1" spans="1:8" ht="18.75" x14ac:dyDescent="0.3">
      <c r="A1" s="36" t="s">
        <v>140</v>
      </c>
    </row>
    <row r="2" spans="1:8" x14ac:dyDescent="0.3">
      <c r="B2" s="37" t="s">
        <v>264</v>
      </c>
    </row>
    <row r="4" spans="1:8" ht="23.25" customHeight="1" x14ac:dyDescent="0.3">
      <c r="B4" s="50" t="s">
        <v>165</v>
      </c>
      <c r="C4" s="50" t="s">
        <v>115</v>
      </c>
      <c r="D4" s="50" t="s">
        <v>116</v>
      </c>
    </row>
    <row r="5" spans="1:8" x14ac:dyDescent="0.3">
      <c r="B5" s="28" t="s">
        <v>217</v>
      </c>
      <c r="C5" s="28">
        <f>Bilan!C9</f>
        <v>18500</v>
      </c>
      <c r="D5" s="28">
        <f>Bilan!D9</f>
        <v>22300</v>
      </c>
      <c r="G5" s="47" t="str">
        <f>B7</f>
        <v>Actif circulant hors trésorerie</v>
      </c>
      <c r="H5" s="47">
        <f>D7</f>
        <v>57900</v>
      </c>
    </row>
    <row r="6" spans="1:8" x14ac:dyDescent="0.3">
      <c r="B6" s="28" t="s">
        <v>216</v>
      </c>
      <c r="C6" s="28">
        <f>Bilan!C10</f>
        <v>28900</v>
      </c>
      <c r="D6" s="28">
        <f>Bilan!D10</f>
        <v>35600</v>
      </c>
      <c r="G6" s="27" t="str">
        <f>B11</f>
        <v>Passif circulant hors trésorerie</v>
      </c>
      <c r="H6" s="27">
        <f>D11</f>
        <v>37600</v>
      </c>
    </row>
    <row r="7" spans="1:8" x14ac:dyDescent="0.3">
      <c r="B7" s="30" t="s">
        <v>247</v>
      </c>
      <c r="C7" s="30">
        <f>C5+C6</f>
        <v>47400</v>
      </c>
      <c r="D7" s="30">
        <f>D5+D6</f>
        <v>57900</v>
      </c>
    </row>
    <row r="8" spans="1:8" x14ac:dyDescent="0.3">
      <c r="B8" s="28"/>
      <c r="C8" s="28"/>
      <c r="D8" s="28"/>
    </row>
    <row r="9" spans="1:8" x14ac:dyDescent="0.3">
      <c r="B9" s="28" t="s">
        <v>218</v>
      </c>
      <c r="C9" s="28">
        <f>Bilan!C21</f>
        <v>21400</v>
      </c>
      <c r="D9" s="28">
        <f>Bilan!D21</f>
        <v>26800</v>
      </c>
    </row>
    <row r="10" spans="1:8" x14ac:dyDescent="0.3">
      <c r="B10" s="28" t="s">
        <v>166</v>
      </c>
      <c r="C10" s="28">
        <f>Bilan!C22</f>
        <v>9400</v>
      </c>
      <c r="D10" s="28">
        <f>Bilan!D22</f>
        <v>10800</v>
      </c>
    </row>
    <row r="11" spans="1:8" x14ac:dyDescent="0.3">
      <c r="B11" s="30" t="s">
        <v>248</v>
      </c>
      <c r="C11" s="30">
        <f>C9+C10</f>
        <v>30800</v>
      </c>
      <c r="D11" s="30">
        <f>D9+D10</f>
        <v>37600</v>
      </c>
    </row>
    <row r="13" spans="1:8" x14ac:dyDescent="0.3">
      <c r="B13" s="54" t="s">
        <v>167</v>
      </c>
      <c r="C13" s="54">
        <f>C7-C11</f>
        <v>16600</v>
      </c>
      <c r="D13" s="54">
        <f>D7-D11</f>
        <v>20300</v>
      </c>
      <c r="G13" s="27" t="s">
        <v>169</v>
      </c>
    </row>
    <row r="14" spans="1:8" x14ac:dyDescent="0.3">
      <c r="B14" s="60" t="s">
        <v>169</v>
      </c>
      <c r="C14" s="61"/>
      <c r="D14" s="61">
        <f>D13-C13</f>
        <v>3700</v>
      </c>
      <c r="G14" s="27" t="str">
        <f>IF(D13=C13,"─ 0 (0,0%)",IF(C13=0,"▲ +"&amp;TEXT(D13-C13,"# ##0")&amp;" (N/A)",IF(D13&gt;C13,"▲ +"&amp;TEXT(D13-C13,"# ##0")&amp;" ("&amp;TEXT((D13-C13)/C13,"+0,0%")&amp;")","▼ "&amp;TEXT(D13-C13,"# ##0")&amp;" ("&amp;TEXT((D13-C13)/C13,"0,0%")&amp;")")))</f>
        <v>▲ +3 700 (+22,3%)</v>
      </c>
    </row>
    <row r="15" spans="1:8" x14ac:dyDescent="0.3">
      <c r="B15" s="54" t="s">
        <v>219</v>
      </c>
      <c r="C15" s="54">
        <f>(C13/'P&amp;L'!C5)*365</f>
        <v>25.673728813559322</v>
      </c>
      <c r="D15" s="54">
        <f>(D13/'P&amp;L'!D5)*365</f>
        <v>26.509838998211091</v>
      </c>
    </row>
    <row r="16" spans="1:8" x14ac:dyDescent="0.3">
      <c r="B16" s="57"/>
      <c r="C16" s="57"/>
      <c r="D16" s="57"/>
      <c r="G16" s="27" t="s">
        <v>227</v>
      </c>
    </row>
    <row r="17" spans="7:7" x14ac:dyDescent="0.3">
      <c r="G17" s="27" t="str">
        <f>IF(D15=C15,"─ 0 (0,0%)",IF(C15=0,"▲ +"&amp;TEXT(D15-C15,"0")&amp;" (N/A)",IF(D15&gt;C15,"▲ +"&amp;TEXT(D15-C15,"0")&amp;" ("&amp;TEXT((D15-C15)/C15,"+0,0%")&amp;")","▼ "&amp;TEXT(D15-C15,"0")&amp;" ("&amp;TEXT((D15-C15)/C15,"0,0%")&amp;")")))</f>
        <v>▲ +1 (+3,3%)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17FF-DB8A-4F37-AABD-04CD705E4C93}">
  <sheetPr codeName="Feuil11"/>
  <dimension ref="A1:G2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baseColWidth="10" defaultRowHeight="17.25" outlineLevelRow="1" x14ac:dyDescent="0.3"/>
  <cols>
    <col min="1" max="1" width="7" style="27" customWidth="1"/>
    <col min="2" max="2" width="59.140625" style="27" bestFit="1" customWidth="1"/>
    <col min="3" max="3" width="16.7109375" style="27" customWidth="1"/>
    <col min="4" max="4" width="11.42578125" style="27"/>
    <col min="5" max="5" width="33.7109375" style="27" bestFit="1" customWidth="1"/>
    <col min="6" max="6" width="18.28515625" style="27" bestFit="1" customWidth="1"/>
    <col min="7" max="7" width="15.85546875" style="27" bestFit="1" customWidth="1"/>
    <col min="8" max="16384" width="11.42578125" style="27"/>
  </cols>
  <sheetData>
    <row r="1" spans="1:7" ht="20.25" customHeight="1" x14ac:dyDescent="0.3">
      <c r="A1" s="36" t="s">
        <v>141</v>
      </c>
    </row>
    <row r="2" spans="1:7" x14ac:dyDescent="0.3">
      <c r="B2" s="37" t="s">
        <v>265</v>
      </c>
    </row>
    <row r="4" spans="1:7" s="45" customFormat="1" ht="25.5" customHeight="1" x14ac:dyDescent="0.25">
      <c r="B4" s="45" t="s">
        <v>136</v>
      </c>
      <c r="C4" s="45" t="s">
        <v>182</v>
      </c>
      <c r="E4" s="45" t="s">
        <v>185</v>
      </c>
      <c r="F4" s="45" t="s">
        <v>183</v>
      </c>
      <c r="G4" s="45" t="s">
        <v>184</v>
      </c>
    </row>
    <row r="5" spans="1:7" x14ac:dyDescent="0.3">
      <c r="B5" s="34" t="s">
        <v>173</v>
      </c>
      <c r="C5" s="34"/>
      <c r="E5" s="27">
        <f>SUM(C13+C17+C22)</f>
        <v>3450</v>
      </c>
      <c r="F5" s="27">
        <f>Bilan!C11</f>
        <v>54050</v>
      </c>
      <c r="G5" s="27">
        <f>Bilan!D11</f>
        <v>57500</v>
      </c>
    </row>
    <row r="6" spans="1:7" x14ac:dyDescent="0.3">
      <c r="B6" s="28" t="s">
        <v>170</v>
      </c>
      <c r="C6" s="28">
        <f>'P&amp;L'!D29</f>
        <v>26450</v>
      </c>
    </row>
    <row r="7" spans="1:7" x14ac:dyDescent="0.3">
      <c r="B7" s="28" t="s">
        <v>171</v>
      </c>
      <c r="C7" s="56">
        <f>'P&amp;L'!D19</f>
        <v>9050</v>
      </c>
      <c r="E7" s="55" t="s">
        <v>190</v>
      </c>
      <c r="F7" s="59">
        <f>E5-(G5-F5)</f>
        <v>0</v>
      </c>
    </row>
    <row r="8" spans="1:7" x14ac:dyDescent="0.3">
      <c r="B8" s="28" t="s">
        <v>172</v>
      </c>
      <c r="C8" s="28">
        <f>(C9+C10)-(C11+C12)</f>
        <v>3700</v>
      </c>
    </row>
    <row r="9" spans="1:7" hidden="1" outlineLevel="1" x14ac:dyDescent="0.3">
      <c r="B9" s="28" t="s">
        <v>189</v>
      </c>
      <c r="C9" s="28">
        <f>Tableau7[[#This Row],[N]]-Tableau7[[#This Row],[N-1]]</f>
        <v>3800</v>
      </c>
    </row>
    <row r="10" spans="1:7" hidden="1" outlineLevel="1" x14ac:dyDescent="0.3">
      <c r="B10" s="28" t="s">
        <v>188</v>
      </c>
      <c r="C10" s="28">
        <f>Tableau7[[#This Row],[N]]-Tableau7[[#This Row],[N-1]]</f>
        <v>6700</v>
      </c>
    </row>
    <row r="11" spans="1:7" hidden="1" outlineLevel="1" x14ac:dyDescent="0.3">
      <c r="B11" s="28" t="s">
        <v>187</v>
      </c>
      <c r="C11" s="28">
        <f>Bilan!D21-Bilan!C21</f>
        <v>5400</v>
      </c>
    </row>
    <row r="12" spans="1:7" hidden="1" outlineLevel="1" x14ac:dyDescent="0.3">
      <c r="B12" s="28" t="s">
        <v>186</v>
      </c>
      <c r="C12" s="28">
        <f>Bilan!D22-Bilan!C22</f>
        <v>1400</v>
      </c>
    </row>
    <row r="13" spans="1:7" ht="20.25" customHeight="1" collapsed="1" x14ac:dyDescent="0.3">
      <c r="B13" s="30" t="s">
        <v>174</v>
      </c>
      <c r="C13" s="30">
        <f>C6+C7-C8</f>
        <v>31800</v>
      </c>
    </row>
    <row r="15" spans="1:7" x14ac:dyDescent="0.3">
      <c r="B15" s="34" t="s">
        <v>175</v>
      </c>
      <c r="C15" s="34"/>
    </row>
    <row r="16" spans="1:7" x14ac:dyDescent="0.3">
      <c r="B16" s="28" t="s">
        <v>176</v>
      </c>
      <c r="C16" s="28">
        <f>-(Bilan!D5-Bilan!C5)</f>
        <v>-3800</v>
      </c>
    </row>
    <row r="17" spans="2:3" ht="20.25" customHeight="1" x14ac:dyDescent="0.3">
      <c r="B17" s="30" t="s">
        <v>177</v>
      </c>
      <c r="C17" s="30">
        <f>SUM(C16)</f>
        <v>-3800</v>
      </c>
    </row>
    <row r="19" spans="2:3" x14ac:dyDescent="0.3">
      <c r="B19" s="34" t="s">
        <v>178</v>
      </c>
      <c r="C19" s="34"/>
    </row>
    <row r="20" spans="2:3" x14ac:dyDescent="0.3">
      <c r="B20" s="28" t="s">
        <v>179</v>
      </c>
      <c r="C20" s="28">
        <f>Bilan!D19-Bilan!C19</f>
        <v>-8000</v>
      </c>
    </row>
    <row r="21" spans="2:3" x14ac:dyDescent="0.3">
      <c r="B21" s="28" t="s">
        <v>180</v>
      </c>
      <c r="C21" s="28">
        <f>'P&amp;L'!C29-(Bilan!D17-Bilan!C17)</f>
        <v>16550</v>
      </c>
    </row>
    <row r="22" spans="2:3" ht="20.25" customHeight="1" x14ac:dyDescent="0.3">
      <c r="B22" s="46" t="s">
        <v>181</v>
      </c>
      <c r="C22" s="46">
        <f>C20-C21</f>
        <v>-24550</v>
      </c>
    </row>
  </sheetData>
  <phoneticPr fontId="15" type="noConversion"/>
  <conditionalFormatting sqref="F7">
    <cfRule type="cellIs" dxfId="10" priority="1" operator="lessThan">
      <formula>0</formula>
    </cfRule>
    <cfRule type="cellIs" dxfId="9" priority="2" operator="greaterThan">
      <formula>0</formula>
    </cfRule>
    <cfRule type="cellIs" dxfId="8" priority="3" operator="equal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CBC0-30DB-4207-B5DD-98741138E349}">
  <sheetPr codeName="Feuil12"/>
  <dimension ref="B1:H21"/>
  <sheetViews>
    <sheetView showGridLines="0" zoomScale="80" zoomScaleNormal="80" workbookViewId="0">
      <selection activeCell="Q16" sqref="Q16"/>
    </sheetView>
  </sheetViews>
  <sheetFormatPr baseColWidth="10" defaultColWidth="12.5703125" defaultRowHeight="17.25" x14ac:dyDescent="0.3"/>
  <cols>
    <col min="1" max="1" width="12.5703125" style="27"/>
    <col min="2" max="2" width="39.85546875" style="27" bestFit="1" customWidth="1"/>
    <col min="3" max="4" width="12.5703125" style="27"/>
    <col min="5" max="5" width="23.7109375" style="27" bestFit="1" customWidth="1"/>
    <col min="6" max="6" width="71" style="27" customWidth="1"/>
    <col min="7" max="7" width="12.5703125" style="27"/>
    <col min="8" max="8" width="12.5703125" style="27" customWidth="1"/>
    <col min="9" max="16384" width="12.5703125" style="27"/>
  </cols>
  <sheetData>
    <row r="1" spans="2:8" s="58" customFormat="1" x14ac:dyDescent="0.25"/>
    <row r="11" spans="2:8" ht="22.5" customHeight="1" x14ac:dyDescent="0.3">
      <c r="B11" s="85" t="s">
        <v>192</v>
      </c>
      <c r="C11" s="84"/>
      <c r="D11" s="84"/>
      <c r="E11" s="84"/>
      <c r="F11" s="84"/>
    </row>
    <row r="12" spans="2:8" ht="22.5" customHeight="1" thickBot="1" x14ac:dyDescent="0.35">
      <c r="B12" s="83" t="s">
        <v>193</v>
      </c>
      <c r="C12" s="83" t="s">
        <v>115</v>
      </c>
      <c r="D12" s="83" t="s">
        <v>116</v>
      </c>
      <c r="E12" s="83" t="s">
        <v>197</v>
      </c>
      <c r="F12" s="83" t="s">
        <v>194</v>
      </c>
    </row>
    <row r="13" spans="2:8" ht="50.25" thickTop="1" x14ac:dyDescent="0.3">
      <c r="B13" s="79" t="s">
        <v>230</v>
      </c>
      <c r="C13" s="58">
        <f>Bilan!C11</f>
        <v>54050</v>
      </c>
      <c r="D13" s="58">
        <f>Bilan!D11</f>
        <v>57500</v>
      </c>
      <c r="E13" s="58" t="str">
        <f>Bilan!L11</f>
        <v>▲ +3 450 (+6,4%)</v>
      </c>
      <c r="F13" s="80" t="s">
        <v>229</v>
      </c>
    </row>
    <row r="14" spans="2:8" ht="49.5" x14ac:dyDescent="0.3">
      <c r="B14" s="79" t="s">
        <v>246</v>
      </c>
      <c r="C14" s="58">
        <f>BFR!C13</f>
        <v>16600</v>
      </c>
      <c r="D14" s="58">
        <f>BFR!D13</f>
        <v>20300</v>
      </c>
      <c r="E14" s="58" t="str">
        <f>BFR!G14</f>
        <v>▲ +3 700 (+22,3%)</v>
      </c>
      <c r="F14" s="80" t="s">
        <v>238</v>
      </c>
    </row>
    <row r="15" spans="2:8" ht="49.5" x14ac:dyDescent="0.3">
      <c r="B15" s="79" t="s">
        <v>231</v>
      </c>
      <c r="C15" s="58">
        <f>BFR!C15</f>
        <v>25.673728813559322</v>
      </c>
      <c r="D15" s="58">
        <f>BFR!D15</f>
        <v>26.509838998211091</v>
      </c>
      <c r="E15" s="58" t="str">
        <f>BFR!G17</f>
        <v>▲ +1 (+3,3%)</v>
      </c>
      <c r="F15" s="80" t="s">
        <v>239</v>
      </c>
    </row>
    <row r="16" spans="2:8" ht="33" x14ac:dyDescent="0.3">
      <c r="B16" s="79" t="s">
        <v>232</v>
      </c>
      <c r="C16" s="81">
        <f>Retraitements!H12</f>
        <v>0.18220338983050846</v>
      </c>
      <c r="D16" s="81">
        <f>Retraitements!I12</f>
        <v>0.17513416815742397</v>
      </c>
      <c r="E16" s="58" t="str">
        <f>Retraitements!K12</f>
        <v>▼ -0,7% (-3,9%)</v>
      </c>
      <c r="F16" s="80" t="s">
        <v>240</v>
      </c>
      <c r="H16" s="68"/>
    </row>
    <row r="17" spans="2:6" ht="49.5" x14ac:dyDescent="0.3">
      <c r="B17" s="79" t="s">
        <v>233</v>
      </c>
      <c r="C17" s="81">
        <f>Retraitements!H35</f>
        <v>0.16567796610169491</v>
      </c>
      <c r="D17" s="81">
        <f>Retraitements!I35</f>
        <v>0.16976744186046511</v>
      </c>
      <c r="E17" s="58" t="str">
        <f>Retraitements!K35</f>
        <v>▲ +0,4% (+2,5%)</v>
      </c>
      <c r="F17" s="80" t="s">
        <v>241</v>
      </c>
    </row>
    <row r="18" spans="2:6" ht="49.5" x14ac:dyDescent="0.3">
      <c r="B18" s="79" t="s">
        <v>234</v>
      </c>
      <c r="C18" s="82">
        <f>Bilan!H14</f>
        <v>2.6931818181818183</v>
      </c>
      <c r="D18" s="82">
        <f>Bilan!I14</f>
        <v>2.4760638297872339</v>
      </c>
      <c r="E18" s="58" t="str">
        <f>Bilan!L14</f>
        <v>▼ -0,2 (-8,1%)</v>
      </c>
      <c r="F18" s="80" t="s">
        <v>242</v>
      </c>
    </row>
    <row r="19" spans="2:6" ht="49.5" x14ac:dyDescent="0.3">
      <c r="B19" s="79" t="s">
        <v>235</v>
      </c>
      <c r="C19" s="58">
        <f>Retraitements!C12</f>
        <v>43000</v>
      </c>
      <c r="D19" s="58">
        <f>Retraitements!D12</f>
        <v>48950</v>
      </c>
      <c r="E19" s="58" t="str">
        <f>Retraitements!K30</f>
        <v>▲ +5 950 (+13,8%)</v>
      </c>
      <c r="F19" s="80" t="s">
        <v>243</v>
      </c>
    </row>
    <row r="20" spans="2:6" ht="49.5" x14ac:dyDescent="0.3">
      <c r="B20" s="79" t="s">
        <v>236</v>
      </c>
      <c r="C20" s="58">
        <f>Retraitements!C24</f>
        <v>23050</v>
      </c>
      <c r="D20" s="58">
        <f>Retraitements!D24</f>
        <v>26450</v>
      </c>
      <c r="E20" s="58" t="str">
        <f>Retraitements!K27</f>
        <v>▲ +3 400 (+14,8%)</v>
      </c>
      <c r="F20" s="80" t="s">
        <v>244</v>
      </c>
    </row>
    <row r="21" spans="2:6" ht="49.5" x14ac:dyDescent="0.3">
      <c r="B21" s="79" t="s">
        <v>237</v>
      </c>
      <c r="C21" s="58">
        <f>Bilan!C19</f>
        <v>32000</v>
      </c>
      <c r="D21" s="58">
        <f>Bilan!D19</f>
        <v>24000</v>
      </c>
      <c r="E21" s="58" t="str">
        <f>Bilan!L18</f>
        <v>▼ -8 000 (-25,0%)</v>
      </c>
      <c r="F21" s="80" t="s">
        <v>245</v>
      </c>
    </row>
  </sheetData>
  <conditionalFormatting sqref="E13 E16:E20">
    <cfRule type="containsText" dxfId="7" priority="3" operator="containsText" text="▲">
      <formula>NOT(ISERROR(SEARCH("▲",E13)))</formula>
    </cfRule>
    <cfRule type="containsText" dxfId="6" priority="4" operator="containsText" text="▼">
      <formula>NOT(ISERROR(SEARCH("▼",E13)))</formula>
    </cfRule>
  </conditionalFormatting>
  <conditionalFormatting sqref="E13:E21">
    <cfRule type="containsText" dxfId="5" priority="9" operator="containsText" text="▲">
      <formula>NOT(ISERROR(SEARCH("▲",E13)))</formula>
    </cfRule>
    <cfRule type="containsText" dxfId="4" priority="10" operator="containsText" text="▼">
      <formula>NOT(ISERROR(SEARCH("▼",E13)))</formula>
    </cfRule>
  </conditionalFormatting>
  <conditionalFormatting sqref="E14">
    <cfRule type="containsText" dxfId="3" priority="8" operator="containsText" text="▲">
      <formula>NOT(ISERROR(SEARCH("▲",E14)))</formula>
    </cfRule>
  </conditionalFormatting>
  <conditionalFormatting sqref="E14:E15 E21">
    <cfRule type="containsText" dxfId="2" priority="1" operator="containsText" text="▼">
      <formula>NOT(ISERROR(SEARCH("▼",E14)))</formula>
    </cfRule>
    <cfRule type="containsText" dxfId="1" priority="2" operator="containsText" text="▲">
      <formula>NOT(ISERROR(SEARCH("▲",E14)))</formula>
    </cfRule>
    <cfRule type="containsText" dxfId="0" priority="6" operator="containsText" text="▼">
      <formula>NOT(ISERROR(SEARCH("▼",E14)))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FADF8F-E782-42A7-BAE0-9E24A16C40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Balance_brute</vt:lpstr>
      <vt:lpstr>Nettoyage</vt:lpstr>
      <vt:lpstr>Anormalies</vt:lpstr>
      <vt:lpstr>Mapping</vt:lpstr>
      <vt:lpstr>Balance</vt:lpstr>
      <vt:lpstr>P&amp;L</vt:lpstr>
      <vt:lpstr>Bilan</vt:lpstr>
      <vt:lpstr>Retraitements</vt:lpstr>
      <vt:lpstr>BFR</vt:lpstr>
      <vt:lpstr>TFT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Alou</dc:creator>
  <cp:lastModifiedBy>Ingrid Alou</cp:lastModifiedBy>
  <dcterms:created xsi:type="dcterms:W3CDTF">2026-09-23T09:14:15Z</dcterms:created>
  <dcterms:modified xsi:type="dcterms:W3CDTF">2026-09-30T00:11:54Z</dcterms:modified>
</cp:coreProperties>
</file>