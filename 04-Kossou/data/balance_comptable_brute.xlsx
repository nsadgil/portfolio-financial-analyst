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New\Desktop\portfolio-financial-analyst\05-Kossou\"/>
    </mc:Choice>
  </mc:AlternateContent>
  <xr:revisionPtr revIDLastSave="0" documentId="13_ncr:1_{ED06F3FE-CCCB-4BBA-881A-1978640FB2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alance comptable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1" l="1"/>
  <c r="E44" i="1"/>
  <c r="E45" i="1" s="1"/>
  <c r="D44" i="1"/>
  <c r="C44" i="1"/>
  <c r="C45" i="1" s="1"/>
</calcChain>
</file>

<file path=xl/sharedStrings.xml><?xml version="1.0" encoding="utf-8"?>
<sst xmlns="http://schemas.openxmlformats.org/spreadsheetml/2006/main" count="87" uniqueCount="86">
  <si>
    <t>N° Compte</t>
  </si>
  <si>
    <t>Intitulé</t>
  </si>
  <si>
    <t>Débit N-1</t>
  </si>
  <si>
    <t>Crédit N-1</t>
  </si>
  <si>
    <t>Débit N</t>
  </si>
  <si>
    <t>Crédit N</t>
  </si>
  <si>
    <t>101000</t>
  </si>
  <si>
    <t>Capital social</t>
  </si>
  <si>
    <t>106000</t>
  </si>
  <si>
    <t>Reserves</t>
  </si>
  <si>
    <t>110000</t>
  </si>
  <si>
    <t>Report a nouveau</t>
  </si>
  <si>
    <t>162000</t>
  </si>
  <si>
    <t>Emprunts aupres des ets de credit</t>
  </si>
  <si>
    <t>213000</t>
  </si>
  <si>
    <t>Logiciels</t>
  </si>
  <si>
    <t>231000</t>
  </si>
  <si>
    <t>Batiments</t>
  </si>
  <si>
    <t>244000</t>
  </si>
  <si>
    <t>Materiel et mobilier de bureau</t>
  </si>
  <si>
    <t>245000</t>
  </si>
  <si>
    <t>Materiel de transport</t>
  </si>
  <si>
    <t>281300</t>
  </si>
  <si>
    <t>Amort. logiciels</t>
  </si>
  <si>
    <t>283100</t>
  </si>
  <si>
    <t>Amort. batiments</t>
  </si>
  <si>
    <t>284400</t>
  </si>
  <si>
    <t>Amort. materiel et mobilier</t>
  </si>
  <si>
    <t>284500</t>
  </si>
  <si>
    <t>Amort. materiel de transport</t>
  </si>
  <si>
    <t>311000</t>
  </si>
  <si>
    <t>Marchandises</t>
  </si>
  <si>
    <t>401000</t>
  </si>
  <si>
    <t>Fournisseurs</t>
  </si>
  <si>
    <t>411000</t>
  </si>
  <si>
    <t>Clients</t>
  </si>
  <si>
    <t>422000</t>
  </si>
  <si>
    <t>Personnel, remunerations dues</t>
  </si>
  <si>
    <t>431000</t>
  </si>
  <si>
    <t>Organismes sociaux</t>
  </si>
  <si>
    <t>447000</t>
  </si>
  <si>
    <t>Etat, impots et taxes</t>
  </si>
  <si>
    <t>445200</t>
  </si>
  <si>
    <t>TVA a decaisser</t>
  </si>
  <si>
    <t>571000</t>
  </si>
  <si>
    <t>Caisse</t>
  </si>
  <si>
    <t>601000</t>
  </si>
  <si>
    <t>Achats de marchandises (part 1)</t>
  </si>
  <si>
    <t>Achats de marchandises (part 2)</t>
  </si>
  <si>
    <t>605000</t>
  </si>
  <si>
    <t>Autres achats</t>
  </si>
  <si>
    <t>612000</t>
  </si>
  <si>
    <t>Entretien, reparations et maintenance</t>
  </si>
  <si>
    <t>611000</t>
  </si>
  <si>
    <t>Transports sur achats/ventes</t>
  </si>
  <si>
    <t>613100</t>
  </si>
  <si>
    <t>Redevances de credit-bail</t>
  </si>
  <si>
    <t>622000</t>
  </si>
  <si>
    <t>Remunerations d'intermediaires et personnel exterieur</t>
  </si>
  <si>
    <t>628000</t>
  </si>
  <si>
    <t>Autres services exterieurs</t>
  </si>
  <si>
    <t>641000</t>
  </si>
  <si>
    <t>Impots et taxes</t>
  </si>
  <si>
    <t>661000</t>
  </si>
  <si>
    <t>Charges de personnel (salaires)</t>
  </si>
  <si>
    <t>664000</t>
  </si>
  <si>
    <t>Charges sociales</t>
  </si>
  <si>
    <t>681000</t>
  </si>
  <si>
    <t>Dotations aux amortissements</t>
  </si>
  <si>
    <t>671000</t>
  </si>
  <si>
    <t>Charges financieres (interets)</t>
  </si>
  <si>
    <t>891000</t>
  </si>
  <si>
    <t>Impots sur le resultat</t>
  </si>
  <si>
    <t>701000</t>
  </si>
  <si>
    <t>Ventes de marchandises</t>
  </si>
  <si>
    <t>758000</t>
  </si>
  <si>
    <t>Autres produits divers</t>
  </si>
  <si>
    <t>771000</t>
  </si>
  <si>
    <t>Produits financiers</t>
  </si>
  <si>
    <t>521000</t>
  </si>
  <si>
    <t>Banque</t>
  </si>
  <si>
    <t>⚠ 3 anomalies volontaires à identifier en atelier de nettoyage : voir onglet 2.Nettoyage_Log</t>
  </si>
  <si>
    <t>TOTAUX</t>
  </si>
  <si>
    <t>Contrôle Débit = Crédit</t>
  </si>
  <si>
    <t>KOSSOU DISTRIBUTION — Balance générale (export brut logiciel comptable)</t>
  </si>
  <si>
    <t>Unité : milliers d'Euro |  Exercices N-1 et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</si>
</sst>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C0000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Normal="100" workbookViewId="0">
      <pane ySplit="4" topLeftCell="A7" activePane="bottomLeft" state="frozen"/>
      <selection pane="bottomLeft" activeCell="K12" sqref="K12"/>
    </sheetView>
  </sheetViews>
  <sheetFormatPr baseColWidth="10" defaultColWidth="8.7109375" defaultRowHeight="15" x14ac:dyDescent="0.25"/>
  <cols>
    <col min="1" max="1" width="12" customWidth="1"/>
    <col min="2" max="2" width="40" customWidth="1"/>
    <col min="3" max="6" width="12" customWidth="1"/>
  </cols>
  <sheetData>
    <row r="1" spans="1:6" ht="16.5" x14ac:dyDescent="0.25">
      <c r="A1" s="1" t="s">
        <v>84</v>
      </c>
    </row>
    <row r="2" spans="1:6" x14ac:dyDescent="0.25">
      <c r="A2" s="2" t="s">
        <v>85</v>
      </c>
    </row>
    <row r="4" spans="1:6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x14ac:dyDescent="0.25">
      <c r="A5" s="4" t="s">
        <v>6</v>
      </c>
      <c r="B5" s="4" t="s">
        <v>7</v>
      </c>
      <c r="C5" s="5">
        <v>0</v>
      </c>
      <c r="D5" s="5">
        <v>50000</v>
      </c>
      <c r="E5" s="5">
        <v>0</v>
      </c>
      <c r="F5" s="5">
        <v>50000</v>
      </c>
    </row>
    <row r="6" spans="1:6" x14ac:dyDescent="0.25">
      <c r="A6" s="4" t="s">
        <v>8</v>
      </c>
      <c r="B6" s="4" t="s">
        <v>9</v>
      </c>
      <c r="C6" s="5">
        <v>0</v>
      </c>
      <c r="D6" s="5">
        <v>18000</v>
      </c>
      <c r="E6" s="5">
        <v>0</v>
      </c>
      <c r="F6" s="5">
        <v>24500</v>
      </c>
    </row>
    <row r="7" spans="1:6" x14ac:dyDescent="0.25">
      <c r="A7" s="4" t="s">
        <v>10</v>
      </c>
      <c r="B7" s="4" t="s">
        <v>11</v>
      </c>
      <c r="C7" s="5">
        <v>0</v>
      </c>
      <c r="D7" s="5">
        <v>4200</v>
      </c>
      <c r="E7" s="5">
        <v>0</v>
      </c>
      <c r="F7" s="5">
        <v>4200</v>
      </c>
    </row>
    <row r="8" spans="1:6" x14ac:dyDescent="0.25">
      <c r="A8" s="4" t="s">
        <v>12</v>
      </c>
      <c r="B8" s="4" t="s">
        <v>13</v>
      </c>
      <c r="C8" s="5">
        <v>0</v>
      </c>
      <c r="D8" s="5">
        <v>32000</v>
      </c>
      <c r="E8" s="5">
        <v>0</v>
      </c>
      <c r="F8" s="5">
        <v>24000</v>
      </c>
    </row>
    <row r="9" spans="1:6" x14ac:dyDescent="0.25">
      <c r="A9" s="4" t="s">
        <v>14</v>
      </c>
      <c r="B9" s="4" t="s">
        <v>15</v>
      </c>
      <c r="C9" s="5">
        <v>3200</v>
      </c>
      <c r="D9" s="5">
        <v>0</v>
      </c>
      <c r="E9" s="5">
        <v>4600</v>
      </c>
      <c r="F9" s="5">
        <v>0</v>
      </c>
    </row>
    <row r="10" spans="1:6" x14ac:dyDescent="0.25">
      <c r="A10" s="4" t="s">
        <v>16</v>
      </c>
      <c r="B10" s="4" t="s">
        <v>17</v>
      </c>
      <c r="C10" s="5">
        <v>45000</v>
      </c>
      <c r="D10" s="5">
        <v>0</v>
      </c>
      <c r="E10" s="5">
        <v>45000</v>
      </c>
      <c r="F10" s="5">
        <v>0</v>
      </c>
    </row>
    <row r="11" spans="1:6" x14ac:dyDescent="0.25">
      <c r="A11" s="4" t="s">
        <v>18</v>
      </c>
      <c r="B11" s="4" t="s">
        <v>19</v>
      </c>
      <c r="C11" s="5">
        <v>12800</v>
      </c>
      <c r="D11" s="5">
        <v>0</v>
      </c>
      <c r="E11" s="5">
        <v>15200</v>
      </c>
      <c r="F11" s="5">
        <v>0</v>
      </c>
    </row>
    <row r="12" spans="1:6" x14ac:dyDescent="0.25">
      <c r="A12" s="4" t="s">
        <v>20</v>
      </c>
      <c r="B12" s="4" t="s">
        <v>21</v>
      </c>
      <c r="C12" s="5">
        <v>21000</v>
      </c>
      <c r="D12" s="5">
        <v>0</v>
      </c>
      <c r="E12" s="5">
        <v>21000</v>
      </c>
      <c r="F12" s="5">
        <v>0</v>
      </c>
    </row>
    <row r="13" spans="1:6" x14ac:dyDescent="0.25">
      <c r="A13" s="4" t="s">
        <v>22</v>
      </c>
      <c r="B13" s="4" t="s">
        <v>23</v>
      </c>
      <c r="C13" s="5">
        <v>0</v>
      </c>
      <c r="D13" s="5">
        <v>1600</v>
      </c>
      <c r="E13" s="5">
        <v>0</v>
      </c>
      <c r="F13" s="5">
        <v>2400</v>
      </c>
    </row>
    <row r="14" spans="1:6" x14ac:dyDescent="0.25">
      <c r="A14" s="4" t="s">
        <v>24</v>
      </c>
      <c r="B14" s="4" t="s">
        <v>25</v>
      </c>
      <c r="C14" s="5">
        <v>0</v>
      </c>
      <c r="D14" s="5">
        <v>9000</v>
      </c>
      <c r="E14" s="5">
        <v>0</v>
      </c>
      <c r="F14" s="5">
        <v>11250</v>
      </c>
    </row>
    <row r="15" spans="1:6" x14ac:dyDescent="0.25">
      <c r="A15" s="4" t="s">
        <v>26</v>
      </c>
      <c r="B15" s="4" t="s">
        <v>27</v>
      </c>
      <c r="C15" s="5">
        <v>0</v>
      </c>
      <c r="D15" s="5">
        <v>6400</v>
      </c>
      <c r="E15" s="5">
        <v>0</v>
      </c>
      <c r="F15" s="5">
        <v>8200</v>
      </c>
    </row>
    <row r="16" spans="1:6" x14ac:dyDescent="0.25">
      <c r="A16" s="4" t="s">
        <v>28</v>
      </c>
      <c r="B16" s="4" t="s">
        <v>29</v>
      </c>
      <c r="C16" s="5">
        <v>0</v>
      </c>
      <c r="D16" s="5">
        <v>8400</v>
      </c>
      <c r="E16" s="5">
        <v>0</v>
      </c>
      <c r="F16" s="5">
        <v>12600</v>
      </c>
    </row>
    <row r="17" spans="1:6" x14ac:dyDescent="0.25">
      <c r="A17" s="4" t="s">
        <v>30</v>
      </c>
      <c r="B17" s="4" t="s">
        <v>31</v>
      </c>
      <c r="C17" s="5">
        <v>18500</v>
      </c>
      <c r="D17" s="5">
        <v>0</v>
      </c>
      <c r="E17" s="5">
        <v>22300</v>
      </c>
      <c r="F17" s="5">
        <v>0</v>
      </c>
    </row>
    <row r="18" spans="1:6" x14ac:dyDescent="0.25">
      <c r="A18" s="4" t="s">
        <v>32</v>
      </c>
      <c r="B18" s="4" t="s">
        <v>33</v>
      </c>
      <c r="C18" s="5">
        <v>0</v>
      </c>
      <c r="D18" s="5">
        <v>21400</v>
      </c>
      <c r="E18" s="5">
        <v>0</v>
      </c>
      <c r="F18" s="5">
        <v>26800</v>
      </c>
    </row>
    <row r="19" spans="1:6" x14ac:dyDescent="0.25">
      <c r="A19" s="4" t="s">
        <v>34</v>
      </c>
      <c r="B19" s="4" t="s">
        <v>35</v>
      </c>
      <c r="C19" s="5">
        <v>28900</v>
      </c>
      <c r="D19" s="5">
        <v>0</v>
      </c>
      <c r="E19" s="5">
        <v>35600</v>
      </c>
      <c r="F19" s="5">
        <v>0</v>
      </c>
    </row>
    <row r="20" spans="1:6" x14ac:dyDescent="0.25">
      <c r="A20" s="4" t="s">
        <v>36</v>
      </c>
      <c r="B20" s="4" t="s">
        <v>37</v>
      </c>
      <c r="C20" s="5">
        <v>0</v>
      </c>
      <c r="D20" s="5">
        <v>3100</v>
      </c>
      <c r="E20" s="5">
        <v>0</v>
      </c>
      <c r="F20" s="5">
        <v>3400</v>
      </c>
    </row>
    <row r="21" spans="1:6" x14ac:dyDescent="0.25">
      <c r="A21" s="4" t="s">
        <v>38</v>
      </c>
      <c r="B21" s="4" t="s">
        <v>39</v>
      </c>
      <c r="C21" s="5">
        <v>0</v>
      </c>
      <c r="D21" s="5">
        <v>1800</v>
      </c>
      <c r="E21" s="5">
        <v>0</v>
      </c>
      <c r="F21" s="5">
        <v>2100</v>
      </c>
    </row>
    <row r="22" spans="1:6" x14ac:dyDescent="0.25">
      <c r="A22" s="4" t="s">
        <v>40</v>
      </c>
      <c r="B22" s="4" t="s">
        <v>41</v>
      </c>
      <c r="C22" s="5">
        <v>0</v>
      </c>
      <c r="D22" s="5">
        <v>2600</v>
      </c>
      <c r="E22" s="5">
        <v>0</v>
      </c>
      <c r="F22" s="5">
        <v>3050</v>
      </c>
    </row>
    <row r="23" spans="1:6" x14ac:dyDescent="0.25">
      <c r="A23" s="4" t="s">
        <v>42</v>
      </c>
      <c r="B23" s="4" t="s">
        <v>43</v>
      </c>
      <c r="C23" s="5">
        <v>0</v>
      </c>
      <c r="D23" s="5">
        <v>1900</v>
      </c>
      <c r="E23" s="5">
        <v>0</v>
      </c>
      <c r="F23" s="5">
        <v>2250</v>
      </c>
    </row>
    <row r="24" spans="1:6" x14ac:dyDescent="0.25">
      <c r="A24" s="4" t="s">
        <v>44</v>
      </c>
      <c r="B24" s="4" t="s">
        <v>45</v>
      </c>
      <c r="C24" s="5">
        <v>850</v>
      </c>
      <c r="D24" s="5">
        <v>0</v>
      </c>
      <c r="E24" s="5">
        <v>1100</v>
      </c>
      <c r="F24" s="5">
        <v>0</v>
      </c>
    </row>
    <row r="25" spans="1:6" x14ac:dyDescent="0.25">
      <c r="A25" s="4" t="s">
        <v>46</v>
      </c>
      <c r="B25" s="4" t="s">
        <v>47</v>
      </c>
      <c r="C25" s="5">
        <v>142000</v>
      </c>
      <c r="D25" s="5">
        <v>0</v>
      </c>
      <c r="E25" s="5">
        <v>100800</v>
      </c>
      <c r="F25" s="5">
        <v>0</v>
      </c>
    </row>
    <row r="26" spans="1:6" x14ac:dyDescent="0.25">
      <c r="A26" s="4" t="s">
        <v>46</v>
      </c>
      <c r="B26" s="4" t="s">
        <v>48</v>
      </c>
      <c r="C26" s="5">
        <v>0</v>
      </c>
      <c r="D26" s="5">
        <v>0</v>
      </c>
      <c r="E26" s="5">
        <v>67200</v>
      </c>
      <c r="F26" s="5">
        <v>0</v>
      </c>
    </row>
    <row r="27" spans="1:6" x14ac:dyDescent="0.25">
      <c r="A27" s="4" t="s">
        <v>49</v>
      </c>
      <c r="B27" s="4" t="s">
        <v>50</v>
      </c>
      <c r="C27" s="5">
        <v>3200</v>
      </c>
      <c r="D27" s="5">
        <v>0</v>
      </c>
      <c r="E27" s="5">
        <v>3600</v>
      </c>
      <c r="F27" s="5">
        <v>0</v>
      </c>
    </row>
    <row r="28" spans="1:6" x14ac:dyDescent="0.25">
      <c r="A28" s="4" t="s">
        <v>51</v>
      </c>
      <c r="B28" s="4" t="s">
        <v>52</v>
      </c>
      <c r="C28" s="5">
        <v>0</v>
      </c>
      <c r="D28" s="5">
        <v>0</v>
      </c>
      <c r="E28" s="5">
        <v>1450</v>
      </c>
      <c r="F28" s="5">
        <v>0</v>
      </c>
    </row>
    <row r="29" spans="1:6" x14ac:dyDescent="0.25">
      <c r="A29" s="4" t="s">
        <v>53</v>
      </c>
      <c r="B29" s="4" t="s">
        <v>54</v>
      </c>
      <c r="C29" s="5">
        <v>4100</v>
      </c>
      <c r="D29" s="5">
        <v>0</v>
      </c>
      <c r="E29" s="5">
        <v>4900</v>
      </c>
      <c r="F29" s="5">
        <v>0</v>
      </c>
    </row>
    <row r="30" spans="1:6" x14ac:dyDescent="0.25">
      <c r="A30" s="4" t="s">
        <v>55</v>
      </c>
      <c r="B30" s="4" t="s">
        <v>56</v>
      </c>
      <c r="C30" s="5">
        <v>6000</v>
      </c>
      <c r="D30" s="5">
        <v>0</v>
      </c>
      <c r="E30" s="5">
        <v>0</v>
      </c>
      <c r="F30" s="5">
        <v>6000</v>
      </c>
    </row>
    <row r="31" spans="1:6" x14ac:dyDescent="0.25">
      <c r="A31" s="4" t="s">
        <v>57</v>
      </c>
      <c r="B31" s="4" t="s">
        <v>58</v>
      </c>
      <c r="C31" s="5">
        <v>8400</v>
      </c>
      <c r="D31" s="5">
        <v>0</v>
      </c>
      <c r="E31" s="5">
        <v>12600</v>
      </c>
      <c r="F31" s="5">
        <v>0</v>
      </c>
    </row>
    <row r="32" spans="1:6" x14ac:dyDescent="0.25">
      <c r="A32" s="4" t="s">
        <v>59</v>
      </c>
      <c r="B32" s="4" t="s">
        <v>60</v>
      </c>
      <c r="C32" s="5">
        <v>3600</v>
      </c>
      <c r="D32" s="5">
        <v>0</v>
      </c>
      <c r="E32" s="5">
        <v>4100</v>
      </c>
      <c r="F32" s="5">
        <v>0</v>
      </c>
    </row>
    <row r="33" spans="1:6" x14ac:dyDescent="0.25">
      <c r="A33" s="4" t="s">
        <v>61</v>
      </c>
      <c r="B33" s="4" t="s">
        <v>62</v>
      </c>
      <c r="C33" s="5">
        <v>1900</v>
      </c>
      <c r="D33" s="5">
        <v>0</v>
      </c>
      <c r="E33" s="5">
        <v>2200</v>
      </c>
      <c r="F33" s="5">
        <v>0</v>
      </c>
    </row>
    <row r="34" spans="1:6" x14ac:dyDescent="0.25">
      <c r="A34" s="4" t="s">
        <v>63</v>
      </c>
      <c r="B34" s="4" t="s">
        <v>64</v>
      </c>
      <c r="C34" s="5">
        <v>24500</v>
      </c>
      <c r="D34" s="5">
        <v>0</v>
      </c>
      <c r="E34" s="5">
        <v>27800</v>
      </c>
      <c r="F34" s="5">
        <v>0</v>
      </c>
    </row>
    <row r="35" spans="1:6" x14ac:dyDescent="0.25">
      <c r="A35" s="4" t="s">
        <v>65</v>
      </c>
      <c r="B35" s="4" t="s">
        <v>66</v>
      </c>
      <c r="C35" s="5">
        <v>6200</v>
      </c>
      <c r="D35" s="5">
        <v>0</v>
      </c>
      <c r="E35" s="5">
        <v>7050</v>
      </c>
      <c r="F35" s="5">
        <v>0</v>
      </c>
    </row>
    <row r="36" spans="1:6" x14ac:dyDescent="0.25">
      <c r="A36" s="4" t="s">
        <v>67</v>
      </c>
      <c r="B36" s="4" t="s">
        <v>68</v>
      </c>
      <c r="C36" s="5">
        <v>7100</v>
      </c>
      <c r="D36" s="5">
        <v>0</v>
      </c>
      <c r="E36" s="5">
        <v>9050</v>
      </c>
      <c r="F36" s="5">
        <v>0</v>
      </c>
    </row>
    <row r="37" spans="1:6" x14ac:dyDescent="0.25">
      <c r="A37" s="4" t="s">
        <v>69</v>
      </c>
      <c r="B37" s="4" t="s">
        <v>70</v>
      </c>
      <c r="C37" s="5">
        <v>2900</v>
      </c>
      <c r="D37" s="5">
        <v>0</v>
      </c>
      <c r="E37" s="5">
        <v>2200</v>
      </c>
      <c r="F37" s="5">
        <v>0</v>
      </c>
    </row>
    <row r="38" spans="1:6" x14ac:dyDescent="0.25">
      <c r="A38" s="4" t="s">
        <v>71</v>
      </c>
      <c r="B38" s="4" t="s">
        <v>72</v>
      </c>
      <c r="C38" s="5">
        <v>4100</v>
      </c>
      <c r="D38" s="5">
        <v>0</v>
      </c>
      <c r="E38" s="5">
        <v>5450</v>
      </c>
      <c r="F38" s="5">
        <v>0</v>
      </c>
    </row>
    <row r="39" spans="1:6" x14ac:dyDescent="0.25">
      <c r="A39" s="4" t="s">
        <v>73</v>
      </c>
      <c r="B39" s="4" t="s">
        <v>74</v>
      </c>
      <c r="C39" s="5">
        <v>0</v>
      </c>
      <c r="D39" s="5">
        <v>236000</v>
      </c>
      <c r="E39" s="5">
        <v>0</v>
      </c>
      <c r="F39" s="5">
        <v>279500</v>
      </c>
    </row>
    <row r="40" spans="1:6" x14ac:dyDescent="0.25">
      <c r="A40" s="4" t="s">
        <v>75</v>
      </c>
      <c r="B40" s="4" t="s">
        <v>76</v>
      </c>
      <c r="C40" s="5">
        <v>0</v>
      </c>
      <c r="D40" s="5">
        <v>900</v>
      </c>
      <c r="E40" s="5">
        <v>0</v>
      </c>
      <c r="F40" s="5">
        <v>1150</v>
      </c>
    </row>
    <row r="41" spans="1:6" x14ac:dyDescent="0.25">
      <c r="A41" s="4" t="s">
        <v>77</v>
      </c>
      <c r="B41" s="4" t="s">
        <v>78</v>
      </c>
      <c r="C41" s="5">
        <v>0</v>
      </c>
      <c r="D41" s="5">
        <v>150</v>
      </c>
      <c r="E41" s="5">
        <v>0</v>
      </c>
      <c r="F41" s="5">
        <v>200</v>
      </c>
    </row>
    <row r="42" spans="1:6" x14ac:dyDescent="0.25">
      <c r="A42" s="4" t="s">
        <v>79</v>
      </c>
      <c r="B42" s="4" t="s">
        <v>80</v>
      </c>
      <c r="C42" s="5">
        <v>53200</v>
      </c>
      <c r="D42" s="5">
        <v>0</v>
      </c>
      <c r="E42" s="5">
        <v>56400</v>
      </c>
      <c r="F42" s="5">
        <v>0</v>
      </c>
    </row>
    <row r="44" spans="1:6" x14ac:dyDescent="0.25">
      <c r="A44" s="6" t="s">
        <v>81</v>
      </c>
      <c r="B44" s="7" t="s">
        <v>82</v>
      </c>
      <c r="C44" s="8">
        <f>SUM(C5:C42)</f>
        <v>397450</v>
      </c>
      <c r="D44" s="8">
        <f>SUM(D5:D42)</f>
        <v>397450</v>
      </c>
      <c r="E44" s="8">
        <f>SUM(E5:E42)</f>
        <v>449600</v>
      </c>
      <c r="F44" s="8">
        <f>SUM(F5:F42)</f>
        <v>461600</v>
      </c>
    </row>
    <row r="45" spans="1:6" x14ac:dyDescent="0.25">
      <c r="B45" s="7" t="s">
        <v>83</v>
      </c>
      <c r="C45" t="str">
        <f>IF(ROUND(C44-D44,0)=0,"OK","ECART !")</f>
        <v>OK</v>
      </c>
      <c r="E45" t="str">
        <f>IF(ROUND(E44-F44,0)=0,"OK","ECART !")</f>
        <v>ECART 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comptable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Ingrid Alou</cp:lastModifiedBy>
  <cp:revision>1</cp:revision>
  <dcterms:created xsi:type="dcterms:W3CDTF">2026-09-22T07:59:19Z</dcterms:created>
  <dcterms:modified xsi:type="dcterms:W3CDTF">2026-09-29T22:46:57Z</dcterms:modified>
  <dc:language>en-US</dc:language>
</cp:coreProperties>
</file>