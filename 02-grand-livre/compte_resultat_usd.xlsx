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New\Desktop\portfolio-financial-analyst\03-grand-livre\"/>
    </mc:Choice>
  </mc:AlternateContent>
  <xr:revisionPtr revIDLastSave="0" documentId="13_ncr:1_{24CF124C-34DA-4F22-B634-9576245F3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&amp;L_Consolide" sheetId="1" r:id="rId1"/>
    <sheet name="P&amp;L_Annuel" sheetId="2" r:id="rId2"/>
    <sheet name="Saisonnalite" sheetId="3" r:id="rId3"/>
    <sheet name="Par_Dept" sheetId="4" r:id="rId4"/>
  </sheets>
  <definedNames>
    <definedName name="_xlchart.v5.0" hidden="1">'P&amp;L_Consolide'!$A$4:$A$10</definedName>
    <definedName name="_xlchart.v5.1" hidden="1">'P&amp;L_Consolide'!$B$4:$B$10</definedName>
    <definedName name="_xlchart.v5.2" hidden="1">'P&amp;L_Consolide'!$A$4:$A$10</definedName>
    <definedName name="_xlchart.v5.3" hidden="1">'P&amp;L_Consolide'!$B$4:$B$10</definedName>
  </definedNames>
  <calcPr calcId="0"/>
</workbook>
</file>

<file path=xl/sharedStrings.xml><?xml version="1.0" encoding="utf-8"?>
<sst xmlns="http://schemas.openxmlformats.org/spreadsheetml/2006/main" count="29" uniqueCount="27">
  <si>
    <t>Poste</t>
  </si>
  <si>
    <t>Montant_USD</t>
  </si>
  <si>
    <t>Chiffre d'affaires</t>
  </si>
  <si>
    <t>Coût des ventes</t>
  </si>
  <si>
    <t>Marge brute</t>
  </si>
  <si>
    <t>Charges opérationnelles</t>
  </si>
  <si>
    <t>Résultat avant impôt</t>
  </si>
  <si>
    <t>Impôt (30%)</t>
  </si>
  <si>
    <t>Résultat net</t>
  </si>
  <si>
    <t>Year</t>
  </si>
  <si>
    <t>Chiffre_affaires</t>
  </si>
  <si>
    <t>resultat_net</t>
  </si>
  <si>
    <t>YoY_CA_%</t>
  </si>
  <si>
    <t>Month</t>
  </si>
  <si>
    <t>variation_%</t>
  </si>
  <si>
    <t>Dept</t>
  </si>
  <si>
    <t>Debit_USD</t>
  </si>
  <si>
    <t>HR</t>
  </si>
  <si>
    <t>IT</t>
  </si>
  <si>
    <t>Sales</t>
  </si>
  <si>
    <t>Marketing</t>
  </si>
  <si>
    <t>Finance</t>
  </si>
  <si>
    <t>Operations</t>
  </si>
  <si>
    <t>COMPTE DE RESULTAT CONSILIDE</t>
  </si>
  <si>
    <t>COMPTE DE RESULTAT</t>
  </si>
  <si>
    <t>SAISONNALITE</t>
  </si>
  <si>
    <t>PERFORMANCE PAR 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</si>
</sst>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4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41" fontId="2" fillId="0" borderId="0" xfId="1" applyFont="1"/>
    <xf numFmtId="41" fontId="2" fillId="0" borderId="0" xfId="1" applyFont="1" applyAlignment="1">
      <alignment horizontal="center" vertical="center"/>
    </xf>
    <xf numFmtId="41" fontId="3" fillId="2" borderId="0" xfId="1" applyFont="1" applyFill="1" applyAlignment="1">
      <alignment horizontal="centerContinuous" vertical="center"/>
    </xf>
    <xf numFmtId="0" fontId="2" fillId="0" borderId="0" xfId="0" applyFont="1"/>
    <xf numFmtId="0" fontId="2" fillId="2" borderId="0" xfId="0" applyFont="1" applyFill="1" applyAlignment="1">
      <alignment horizontal="centerContinuous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/>
    <xf numFmtId="0" fontId="2" fillId="0" borderId="0" xfId="0" applyNumberFormat="1" applyFont="1"/>
    <xf numFmtId="41" fontId="3" fillId="2" borderId="0" xfId="1" applyFont="1" applyFill="1" applyAlignment="1">
      <alignment horizontal="centerContinuous" vertical="center" wrapText="1"/>
    </xf>
  </cellXfs>
  <cellStyles count="2">
    <cellStyle name="Milliers [0]" xfId="1" builtinId="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5" formatCode="_-* #,##0.00_-;\-* #,##0.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Performance Globale Annuelle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'P&amp;L_Annuel'!$B$3</c:f>
              <c:strCache>
                <c:ptCount val="1"/>
                <c:pt idx="0">
                  <c:v>Chiffre_affaires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'P&amp;L_Annuel'!$A$4:$A$6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'P&amp;L_Annuel'!$B$4:$B$6</c:f>
              <c:numCache>
                <c:formatCode>_(* #,##0_);_(* \(#,##0\);_(* "-"_);_(@_)</c:formatCode>
                <c:ptCount val="3"/>
                <c:pt idx="0">
                  <c:v>852834.71019999997</c:v>
                </c:pt>
                <c:pt idx="1">
                  <c:v>919167.10100000002</c:v>
                </c:pt>
                <c:pt idx="2">
                  <c:v>413398.96480000002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4-4F37-9009-F9B96F25BB3D}"/>
            </c:ext>
          </c:extLst>
        </c:ser>
        <c:ser>
          <c:idx val="1"/>
          <c:order val="1"/>
          <c:tx>
            <c:strRef>
              <c:f>'P&amp;L_Annuel'!$C$3</c:f>
              <c:strCache>
                <c:ptCount val="1"/>
                <c:pt idx="0">
                  <c:v>resultat_net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'P&amp;L_Annuel'!$A$4:$A$6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'P&amp;L_Annuel'!$C$4:$C$6</c:f>
              <c:numCache>
                <c:formatCode>_(* #,##0_);_(* \(#,##0\);_(* "-"_);_(@_)</c:formatCode>
                <c:ptCount val="3"/>
                <c:pt idx="0">
                  <c:v>249859.03481000001</c:v>
                </c:pt>
                <c:pt idx="1">
                  <c:v>241267.91003</c:v>
                </c:pt>
                <c:pt idx="2">
                  <c:v>80486.157149999985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4-4F37-9009-F9B96F25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761856"/>
        <c:axId val="787766656"/>
      </c:barChart>
      <c:lineChart>
        <c:grouping val="standard"/>
        <c:varyColors val="0"/>
        <c:ser>
          <c:idx val="2"/>
          <c:order val="2"/>
          <c:tx>
            <c:strRef>
              <c:f>'P&amp;L_Annuel'!$D$3</c:f>
              <c:strCache>
                <c:ptCount val="1"/>
                <c:pt idx="0">
                  <c:v>YoY_CA_%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 cap="rnd">
                  <a:solidFill>
                    <a:schemeClr val="accent3"/>
                  </a:solidFill>
                  <a:beve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534-4F37-9009-F9B96F25BB3D}"/>
              </c:ext>
            </c:extLst>
          </c:dPt>
          <c:cat>
            <c:numRef>
              <c:f>'P&amp;L_Annuel'!$A$4:$A$6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'P&amp;L_Annuel'!$D$4:$D$6</c:f>
              <c:numCache>
                <c:formatCode>General</c:formatCode>
                <c:ptCount val="3"/>
                <c:pt idx="0" formatCode="_(* #,##0_);_(* \(#,##0\);_(* &quot;-&quot;_);_(@_)">
                  <c:v>0</c:v>
                </c:pt>
                <c:pt idx="1">
                  <c:v>7.78</c:v>
                </c:pt>
                <c:pt idx="2">
                  <c:v>-55.02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4-4F37-9009-F9B96F25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760416"/>
        <c:axId val="787757536"/>
      </c:lineChart>
      <c:catAx>
        <c:axId val="7877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766656"/>
        <c:crosses val="autoZero"/>
        <c:auto val="1"/>
        <c:lblAlgn val="ctr"/>
        <c:lblOffset val="100"/>
        <c:noMultiLvlLbl val="0"/>
      </c:catAx>
      <c:valAx>
        <c:axId val="7877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761856"/>
        <c:crosses val="autoZero"/>
        <c:crossBetween val="between"/>
      </c:valAx>
      <c:valAx>
        <c:axId val="78775753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760416"/>
        <c:crosses val="max"/>
        <c:crossBetween val="between"/>
      </c:valAx>
      <c:catAx>
        <c:axId val="78776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77575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Performance Globale Mensuelle MoM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Saisonnalite!$B$3</c:f>
              <c:strCache>
                <c:ptCount val="1"/>
                <c:pt idx="0">
                  <c:v> Chiffre_affaires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Saisonnalite!$A$4:$A$15</c:f>
              <c:numCache>
                <c:formatCode>_(* #,##0_);_(* \(#,##0\);_(* "-"_);_(@_)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Saisonnalite!$B$4:$B$15</c:f>
              <c:numCache>
                <c:formatCode>_(* #,##0_);_(* \(#,##0\);_(* "-"_);_(@_)</c:formatCode>
                <c:ptCount val="12"/>
                <c:pt idx="0">
                  <c:v>154958.17300000001</c:v>
                </c:pt>
                <c:pt idx="1">
                  <c:v>133687.6758</c:v>
                </c:pt>
                <c:pt idx="2">
                  <c:v>177630.63329999999</c:v>
                </c:pt>
                <c:pt idx="3">
                  <c:v>139479.6875</c:v>
                </c:pt>
                <c:pt idx="4">
                  <c:v>168192.08360000001</c:v>
                </c:pt>
                <c:pt idx="5">
                  <c:v>128055.96580000001</c:v>
                </c:pt>
                <c:pt idx="6">
                  <c:v>120717.9326</c:v>
                </c:pt>
                <c:pt idx="7">
                  <c:v>135895.6715</c:v>
                </c:pt>
                <c:pt idx="8">
                  <c:v>119693.45759999999</c:v>
                </c:pt>
                <c:pt idx="9">
                  <c:v>150657.19699999999</c:v>
                </c:pt>
                <c:pt idx="10">
                  <c:v>175128.0729</c:v>
                </c:pt>
                <c:pt idx="11">
                  <c:v>167905.26060000001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8-4806-A245-71B1FA486E41}"/>
            </c:ext>
          </c:extLst>
        </c:ser>
        <c:ser>
          <c:idx val="1"/>
          <c:order val="1"/>
          <c:tx>
            <c:strRef>
              <c:f>Saisonnalite!$C$3</c:f>
              <c:strCache>
                <c:ptCount val="1"/>
                <c:pt idx="0">
                  <c:v> resultat_net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Saisonnalite!$A$4:$A$15</c:f>
              <c:numCache>
                <c:formatCode>_(* #,##0_);_(* \(#,##0\);_(* "-"_);_(@_)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Saisonnalite!$C$4:$C$15</c:f>
              <c:numCache>
                <c:formatCode>_(* #,##0_);_(* \(#,##0\);_(* "-"_);_(@_)</c:formatCode>
                <c:ptCount val="12"/>
                <c:pt idx="0">
                  <c:v>45805.534249999997</c:v>
                </c:pt>
                <c:pt idx="1">
                  <c:v>39661.108970000001</c:v>
                </c:pt>
                <c:pt idx="2">
                  <c:v>61190.967319999982</c:v>
                </c:pt>
                <c:pt idx="3">
                  <c:v>30154.574170000011</c:v>
                </c:pt>
                <c:pt idx="4">
                  <c:v>48691.331850000002</c:v>
                </c:pt>
                <c:pt idx="5">
                  <c:v>36432.112430000001</c:v>
                </c:pt>
                <c:pt idx="6">
                  <c:v>22651.600579999991</c:v>
                </c:pt>
                <c:pt idx="7">
                  <c:v>33604.048309999998</c:v>
                </c:pt>
                <c:pt idx="8">
                  <c:v>4801.9731900000043</c:v>
                </c:pt>
                <c:pt idx="9">
                  <c:v>44810.949329999989</c:v>
                </c:pt>
                <c:pt idx="10">
                  <c:v>66522.511510000011</c:v>
                </c:pt>
                <c:pt idx="11">
                  <c:v>56800.232929999998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8-4806-A245-71B1FA48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7832416"/>
        <c:axId val="787818976"/>
      </c:barChart>
      <c:lineChart>
        <c:grouping val="standard"/>
        <c:varyColors val="0"/>
        <c:ser>
          <c:idx val="2"/>
          <c:order val="2"/>
          <c:tx>
            <c:strRef>
              <c:f>Saisonnalite!$D$3</c:f>
              <c:strCache>
                <c:ptCount val="1"/>
                <c:pt idx="0">
                  <c:v> variation_%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Saisonnalite!$A$4:$A$15</c:f>
              <c:numCache>
                <c:formatCode>_(* #,##0_);_(* \(#,##0\);_(* "-"_);_(@_)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Saisonnalite!$D$4:$D$15</c:f>
              <c:numCache>
                <c:formatCode>_-* #\ ##0.00_-;\-* #\ ##0.00_-;_-* "-"_-;_-@_-</c:formatCode>
                <c:ptCount val="12"/>
                <c:pt idx="1">
                  <c:v>-13.726605566006519</c:v>
                </c:pt>
                <c:pt idx="2">
                  <c:v>32.869864209278127</c:v>
                </c:pt>
                <c:pt idx="3">
                  <c:v>-21.477683826959581</c:v>
                </c:pt>
                <c:pt idx="4">
                  <c:v>20.585360215981279</c:v>
                </c:pt>
                <c:pt idx="5">
                  <c:v>-23.86326213512703</c:v>
                </c:pt>
                <c:pt idx="6">
                  <c:v>-5.7303329479086234</c:v>
                </c:pt>
                <c:pt idx="7">
                  <c:v>12.57289499008534</c:v>
                </c:pt>
                <c:pt idx="8">
                  <c:v>-11.92253860712554</c:v>
                </c:pt>
                <c:pt idx="9">
                  <c:v>25.86919955431215</c:v>
                </c:pt>
                <c:pt idx="10">
                  <c:v>16.242752677789451</c:v>
                </c:pt>
                <c:pt idx="11">
                  <c:v>-4.1243029631944372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8-4806-A245-71B1FA486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823776"/>
        <c:axId val="787832896"/>
      </c:lineChart>
      <c:catAx>
        <c:axId val="787832416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818976"/>
        <c:crosses val="autoZero"/>
        <c:auto val="1"/>
        <c:lblAlgn val="ctr"/>
        <c:lblOffset val="100"/>
        <c:noMultiLvlLbl val="0"/>
      </c:catAx>
      <c:valAx>
        <c:axId val="7878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832416"/>
        <c:crosses val="autoZero"/>
        <c:crossBetween val="between"/>
      </c:valAx>
      <c:valAx>
        <c:axId val="787832896"/>
        <c:scaling>
          <c:orientation val="minMax"/>
        </c:scaling>
        <c:delete val="0"/>
        <c:axPos val="r"/>
        <c:numFmt formatCode="_-* #\ ##0.00_-;\-* #\ ##0.0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823776"/>
        <c:crosses val="max"/>
        <c:crossBetween val="between"/>
      </c:valAx>
      <c:catAx>
        <c:axId val="787823776"/>
        <c:scaling>
          <c:orientation val="minMax"/>
        </c:scaling>
        <c:delete val="1"/>
        <c:axPos val="b"/>
        <c:numFmt formatCode="_(* #,##0_);_(* \(#,##0\);_(* &quot;-&quot;_);_(@_)" sourceLinked="1"/>
        <c:majorTickMark val="out"/>
        <c:minorTickMark val="none"/>
        <c:tickLblPos val="nextTo"/>
        <c:crossAx val="7878328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Performance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Par_Dept!$A$4:$A$9</c:f>
              <c:strCache>
                <c:ptCount val="6"/>
                <c:pt idx="0">
                  <c:v> HR </c:v>
                </c:pt>
                <c:pt idx="1">
                  <c:v> IT </c:v>
                </c:pt>
                <c:pt idx="2">
                  <c:v> Sales </c:v>
                </c:pt>
                <c:pt idx="3">
                  <c:v> Marketing </c:v>
                </c:pt>
                <c:pt idx="4">
                  <c:v> Finance </c:v>
                </c:pt>
                <c:pt idx="5">
                  <c:v> Operations </c:v>
                </c:pt>
              </c:strCache>
            </c:strRef>
          </c:cat>
          <c:val>
            <c:numRef>
              <c:f>Par_Dept!$B$4:$B$9</c:f>
              <c:numCache>
                <c:formatCode>_(* #,##0_);_(* \(#,##0\);_(* "-"_);_(@_)</c:formatCode>
                <c:ptCount val="6"/>
                <c:pt idx="0">
                  <c:v>249819.63639999999</c:v>
                </c:pt>
                <c:pt idx="1">
                  <c:v>232245.9601</c:v>
                </c:pt>
                <c:pt idx="2">
                  <c:v>229470.36</c:v>
                </c:pt>
                <c:pt idx="3">
                  <c:v>228447.17370000001</c:v>
                </c:pt>
                <c:pt idx="4">
                  <c:v>226194.2629</c:v>
                </c:pt>
                <c:pt idx="5">
                  <c:v>202633.2372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9B2-BD1E-F898631F69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7783936"/>
        <c:axId val="787780096"/>
      </c:barChart>
      <c:catAx>
        <c:axId val="78778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787780096"/>
        <c:crosses val="autoZero"/>
        <c:auto val="1"/>
        <c:lblAlgn val="ctr"/>
        <c:lblOffset val="100"/>
        <c:noMultiLvlLbl val="0"/>
      </c:catAx>
      <c:valAx>
        <c:axId val="7877800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78778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r>
              <a:rPr lang="fr-FR" sz="1200">
                <a:latin typeface="Century Gothic" panose="020B0502020202020204" pitchFamily="34" charset="0"/>
              </a:rPr>
              <a:t>Performance annuelle</a:t>
            </a:r>
            <a:endParaRPr lang="fr-BJ" sz="1200">
              <a:latin typeface="Century Gothic" panose="020B0502020202020204" pitchFamily="34" charset="0"/>
            </a:endParaRPr>
          </a:p>
        </cx:rich>
      </cx:tx>
    </cx:title>
    <cx:plotArea>
      <cx:plotAreaRegion>
        <cx:series layoutId="waterfall" uniqueId="{0347F649-D3CC-4CD7-911C-E9DF2177B9FA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595959"/>
                    </a:solidFill>
                    <a:latin typeface="Century Gothic" panose="020B0502020202020204" pitchFamily="34" charset="0"/>
                    <a:ea typeface="Century Gothic" panose="020B0502020202020204" pitchFamily="34" charset="0"/>
                    <a:cs typeface="Century Gothic" panose="020B0502020202020204" pitchFamily="34" charset="0"/>
                  </a:defRPr>
                </a:pPr>
                <a:endParaRPr lang="fr-BJ">
                  <a:latin typeface="Century Gothic" panose="020B0502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0"/>
            <cx:subtotals>
              <cx:idx val="0"/>
              <cx:idx val="6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fr-BJ" sz="900">
              <a:latin typeface="Century Gothic" panose="020B050202020202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defRPr>
            </a:pPr>
            <a:endParaRPr lang="fr-BJ">
              <a:latin typeface="Century Gothic" panose="020B050202020202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Century Gothic" panose="020B0502020202020204" pitchFamily="34" charset="0"/>
              <a:ea typeface="Century Gothic" panose="020B0502020202020204" pitchFamily="34" charset="0"/>
              <a:cs typeface="Century Gothic" panose="020B0502020202020204" pitchFamily="34" charset="0"/>
            </a:defRPr>
          </a:pPr>
          <a:endParaRPr lang="fr-F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entury Gothic" panose="020B0502020202020204" pitchFamily="34" charset="0"/>
          </a:endParaRPr>
        </a:p>
      </cx:txPr>
    </cx:legend>
  </cx:chart>
  <cx:fmtOvrs>
    <cx:fmtOvr idx="2">
      <cx:spPr>
        <a:solidFill>
          <a:schemeClr val="accent1"/>
        </a:solidFill>
      </cx:spPr>
    </cx:fmtOvr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28575</xdr:rowOff>
    </xdr:from>
    <xdr:to>
      <xdr:col>13</xdr:col>
      <xdr:colOff>66675</xdr:colOff>
      <xdr:row>23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F8DDA1C8-FD3E-FF08-0611-E238B5D8D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571500"/>
              <a:ext cx="6143625" cy="476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J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4761</xdr:rowOff>
    </xdr:from>
    <xdr:to>
      <xdr:col>15</xdr:col>
      <xdr:colOff>76200</xdr:colOff>
      <xdr:row>17</xdr:row>
      <xdr:rowOff>219074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EEAE008-6C8D-1224-2EF5-8F0843104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214312</xdr:rowOff>
    </xdr:from>
    <xdr:to>
      <xdr:col>15</xdr:col>
      <xdr:colOff>228600</xdr:colOff>
      <xdr:row>20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0CDF257-9A5D-5F5F-0CD9-9D9766AA4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2</xdr:row>
      <xdr:rowOff>4761</xdr:rowOff>
    </xdr:from>
    <xdr:to>
      <xdr:col>16</xdr:col>
      <xdr:colOff>238124</xdr:colOff>
      <xdr:row>21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C29570-6733-5895-8C66-27F1D1CE4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66482-FDE1-4304-8E93-ED9C1EA1C64E}" name="Tableau1" displayName="Tableau1" ref="A3:B10" totalsRowShown="0" headerRowDxfId="15" dataDxfId="16" headerRowCellStyle="Milliers [0]" dataCellStyle="Milliers [0]">
  <autoFilter ref="A3:B10" xr:uid="{CF566482-FDE1-4304-8E93-ED9C1EA1C64E}">
    <filterColumn colId="0" hiddenButton="1"/>
    <filterColumn colId="1" hiddenButton="1"/>
  </autoFilter>
  <tableColumns count="2">
    <tableColumn id="1" xr3:uid="{1F83113A-1EB6-4851-AD3E-4A1E884827BB}" name="Poste" dataDxfId="18" dataCellStyle="Milliers [0]"/>
    <tableColumn id="2" xr3:uid="{1822523E-DEB8-4279-9C9A-852FA01F1700}" name="Montant_USD" dataDxfId="17" dataCellStyle="Milliers [0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D0421-7951-42BC-8189-D0F645A58E1C}" name="Tableau2" displayName="Tableau2" ref="A3:D6" totalsRowShown="0" headerRowDxfId="12">
  <autoFilter ref="A3:D6" xr:uid="{D7CD0421-7951-42BC-8189-D0F645A58E1C}">
    <filterColumn colId="0" hiddenButton="1"/>
    <filterColumn colId="1" hiddenButton="1"/>
    <filterColumn colId="2" hiddenButton="1"/>
    <filterColumn colId="3" hiddenButton="1"/>
  </autoFilter>
  <tableColumns count="4">
    <tableColumn id="1" xr3:uid="{55F9F40A-D9A7-4307-B256-4ED229849626}" name="Year" dataDxfId="4"/>
    <tableColumn id="2" xr3:uid="{72A5C7BE-6EAA-4A91-81A8-44D38F842B03}" name="Chiffre_affaires" dataDxfId="5" dataCellStyle="Milliers [0]"/>
    <tableColumn id="3" xr3:uid="{4B448821-C852-42AD-9ED3-079E9BD53285}" name="resultat_net" dataDxfId="14" dataCellStyle="Milliers [0]"/>
    <tableColumn id="4" xr3:uid="{8BD2A23B-6F1C-4BA4-AF74-B928185858C7}" name="YoY_CA_%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2168E1-81F7-477D-83AB-7445AB090E3C}" name="Tableau3" displayName="Tableau3" ref="A3:D15" totalsRowShown="0" headerRowDxfId="6" dataDxfId="7" headerRowCellStyle="Milliers [0]" dataCellStyle="Milliers [0]">
  <autoFilter ref="A3:D15" xr:uid="{102168E1-81F7-477D-83AB-7445AB090E3C}">
    <filterColumn colId="0" hiddenButton="1"/>
    <filterColumn colId="1" hiddenButton="1"/>
    <filterColumn colId="2" hiddenButton="1"/>
    <filterColumn colId="3" hiddenButton="1"/>
  </autoFilter>
  <tableColumns count="4">
    <tableColumn id="1" xr3:uid="{F34BDF7B-CC79-4AD9-89F3-C5BEC35E8F3E}" name="Month" dataDxfId="11" dataCellStyle="Milliers [0]"/>
    <tableColumn id="2" xr3:uid="{C41FB0F3-8D67-492D-A3A1-D2D3399D864C}" name="Chiffre_affaires" dataDxfId="10" dataCellStyle="Milliers [0]"/>
    <tableColumn id="3" xr3:uid="{D555E8AD-9630-4680-A0BA-975260866D88}" name="resultat_net" dataDxfId="9" dataCellStyle="Milliers [0]"/>
    <tableColumn id="4" xr3:uid="{9C3A94C4-A3E6-46CA-95D5-004E0D285089}" name="variation_%" dataDxfId="8" dataCellStyle="Milliers [0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D40082-41F0-4AB5-BB50-4ACBDF835FD8}" name="Tableau4" displayName="Tableau4" ref="A3:B9" totalsRowShown="0" headerRowDxfId="0" dataDxfId="1" headerRowCellStyle="Milliers [0]" dataCellStyle="Milliers [0]">
  <autoFilter ref="A3:B9" xr:uid="{03D40082-41F0-4AB5-BB50-4ACBDF835FD8}">
    <filterColumn colId="0" hiddenButton="1"/>
    <filterColumn colId="1" hiddenButton="1"/>
  </autoFilter>
  <tableColumns count="2">
    <tableColumn id="1" xr3:uid="{E8773436-7F1A-455A-9D47-4B91E56FA2D9}" name="Dept" dataDxfId="3" dataCellStyle="Milliers [0]"/>
    <tableColumn id="2" xr3:uid="{145CE4F9-AF23-4A2F-B2BB-1A99FCAAF864}" name="Debit_USD" dataDxfId="2" dataCellStyle="Milliers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Q6" sqref="Q6"/>
    </sheetView>
  </sheetViews>
  <sheetFormatPr baseColWidth="10" defaultColWidth="9.140625" defaultRowHeight="17.25" x14ac:dyDescent="0.3"/>
  <cols>
    <col min="1" max="1" width="30.140625" style="1" bestFit="1" customWidth="1"/>
    <col min="2" max="2" width="19.42578125" style="1" customWidth="1"/>
    <col min="3" max="16384" width="9.140625" style="1"/>
  </cols>
  <sheetData>
    <row r="1" spans="1:2" ht="25.5" customHeight="1" x14ac:dyDescent="0.3">
      <c r="A1" s="3" t="s">
        <v>23</v>
      </c>
      <c r="B1" s="3"/>
    </row>
    <row r="3" spans="1:2" ht="23.25" customHeight="1" x14ac:dyDescent="0.3">
      <c r="A3" s="2" t="s">
        <v>0</v>
      </c>
      <c r="B3" s="2" t="s">
        <v>1</v>
      </c>
    </row>
    <row r="4" spans="1:2" x14ac:dyDescent="0.3">
      <c r="A4" s="1" t="s">
        <v>2</v>
      </c>
      <c r="B4" s="1">
        <v>2185400.7760000001</v>
      </c>
    </row>
    <row r="5" spans="1:2" x14ac:dyDescent="0.3">
      <c r="A5" s="1" t="s">
        <v>3</v>
      </c>
      <c r="B5" s="1">
        <v>-441246.87839999999</v>
      </c>
    </row>
    <row r="6" spans="1:2" x14ac:dyDescent="0.3">
      <c r="A6" s="1" t="s">
        <v>4</v>
      </c>
      <c r="B6" s="1">
        <v>1744153.8976</v>
      </c>
    </row>
    <row r="7" spans="1:2" x14ac:dyDescent="0.3">
      <c r="A7" s="1" t="s">
        <v>5</v>
      </c>
      <c r="B7" s="1">
        <v>-927563.75190000003</v>
      </c>
    </row>
    <row r="8" spans="1:2" x14ac:dyDescent="0.3">
      <c r="A8" s="1" t="s">
        <v>6</v>
      </c>
      <c r="B8" s="1">
        <v>816590.14569999999</v>
      </c>
    </row>
    <row r="9" spans="1:2" x14ac:dyDescent="0.3">
      <c r="A9" s="1" t="s">
        <v>7</v>
      </c>
      <c r="B9" s="1">
        <v>-244977.04371</v>
      </c>
    </row>
    <row r="10" spans="1:2" x14ac:dyDescent="0.3">
      <c r="A10" s="1" t="s">
        <v>8</v>
      </c>
      <c r="B10" s="1">
        <v>571613.10199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12" sqref="D12"/>
    </sheetView>
  </sheetViews>
  <sheetFormatPr baseColWidth="10" defaultColWidth="9.140625" defaultRowHeight="17.25" x14ac:dyDescent="0.3"/>
  <cols>
    <col min="1" max="1" width="9.85546875" style="4" customWidth="1"/>
    <col min="2" max="2" width="19.140625" style="4" customWidth="1"/>
    <col min="3" max="3" width="15.42578125" style="4" bestFit="1" customWidth="1"/>
    <col min="4" max="4" width="14.42578125" style="4" customWidth="1"/>
    <col min="5" max="16384" width="9.140625" style="4"/>
  </cols>
  <sheetData>
    <row r="1" spans="1:4" ht="24.75" customHeight="1" x14ac:dyDescent="0.3">
      <c r="A1" s="3" t="s">
        <v>24</v>
      </c>
      <c r="B1" s="3"/>
      <c r="C1" s="5"/>
      <c r="D1" s="5"/>
    </row>
    <row r="3" spans="1:4" s="6" customFormat="1" ht="22.5" customHeight="1" x14ac:dyDescent="0.25">
      <c r="A3" s="6" t="s">
        <v>9</v>
      </c>
      <c r="B3" s="6" t="s">
        <v>10</v>
      </c>
      <c r="C3" s="6" t="s">
        <v>11</v>
      </c>
      <c r="D3" s="6" t="s">
        <v>12</v>
      </c>
    </row>
    <row r="4" spans="1:4" x14ac:dyDescent="0.3">
      <c r="A4" s="8">
        <v>2023</v>
      </c>
      <c r="B4" s="1">
        <v>852834.71019999997</v>
      </c>
      <c r="C4" s="1">
        <v>249859.03481000001</v>
      </c>
      <c r="D4" s="1">
        <v>0</v>
      </c>
    </row>
    <row r="5" spans="1:4" x14ac:dyDescent="0.3">
      <c r="A5" s="8">
        <v>2024</v>
      </c>
      <c r="B5" s="1">
        <v>919167.10100000002</v>
      </c>
      <c r="C5" s="1">
        <v>241267.91003</v>
      </c>
      <c r="D5" s="4">
        <v>7.78</v>
      </c>
    </row>
    <row r="6" spans="1:4" x14ac:dyDescent="0.3">
      <c r="A6" s="8">
        <v>2025</v>
      </c>
      <c r="B6" s="1">
        <v>413398.96480000002</v>
      </c>
      <c r="C6" s="1">
        <v>80486.157149999985</v>
      </c>
      <c r="D6" s="4">
        <v>-55.02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C25" sqref="C25"/>
    </sheetView>
  </sheetViews>
  <sheetFormatPr baseColWidth="10" defaultColWidth="9.140625" defaultRowHeight="17.25" x14ac:dyDescent="0.3"/>
  <cols>
    <col min="1" max="1" width="12" style="1" customWidth="1"/>
    <col min="2" max="2" width="21.140625" style="1" customWidth="1"/>
    <col min="3" max="3" width="17.42578125" style="1" customWidth="1"/>
    <col min="4" max="4" width="18" style="1" customWidth="1"/>
    <col min="5" max="16384" width="9.140625" style="1"/>
  </cols>
  <sheetData>
    <row r="1" spans="1:4" ht="24.75" customHeight="1" x14ac:dyDescent="0.3">
      <c r="A1" s="3" t="s">
        <v>25</v>
      </c>
      <c r="B1" s="3"/>
      <c r="C1" s="5"/>
    </row>
    <row r="3" spans="1:4" x14ac:dyDescent="0.3">
      <c r="A3" s="1" t="s">
        <v>13</v>
      </c>
      <c r="B3" s="1" t="s">
        <v>10</v>
      </c>
      <c r="C3" s="1" t="s">
        <v>11</v>
      </c>
      <c r="D3" s="1" t="s">
        <v>14</v>
      </c>
    </row>
    <row r="4" spans="1:4" x14ac:dyDescent="0.3">
      <c r="A4" s="1">
        <v>1</v>
      </c>
      <c r="B4" s="1">
        <v>154958.17300000001</v>
      </c>
      <c r="C4" s="1">
        <v>45805.534249999997</v>
      </c>
      <c r="D4" s="7"/>
    </row>
    <row r="5" spans="1:4" x14ac:dyDescent="0.3">
      <c r="A5" s="1">
        <v>2</v>
      </c>
      <c r="B5" s="1">
        <v>133687.6758</v>
      </c>
      <c r="C5" s="1">
        <v>39661.108970000001</v>
      </c>
      <c r="D5" s="7">
        <v>-13.726605566006519</v>
      </c>
    </row>
    <row r="6" spans="1:4" x14ac:dyDescent="0.3">
      <c r="A6" s="1">
        <v>3</v>
      </c>
      <c r="B6" s="1">
        <v>177630.63329999999</v>
      </c>
      <c r="C6" s="1">
        <v>61190.967319999982</v>
      </c>
      <c r="D6" s="7">
        <v>32.869864209278127</v>
      </c>
    </row>
    <row r="7" spans="1:4" x14ac:dyDescent="0.3">
      <c r="A7" s="1">
        <v>4</v>
      </c>
      <c r="B7" s="1">
        <v>139479.6875</v>
      </c>
      <c r="C7" s="1">
        <v>30154.574170000011</v>
      </c>
      <c r="D7" s="7">
        <v>-21.477683826959581</v>
      </c>
    </row>
    <row r="8" spans="1:4" x14ac:dyDescent="0.3">
      <c r="A8" s="1">
        <v>5</v>
      </c>
      <c r="B8" s="1">
        <v>168192.08360000001</v>
      </c>
      <c r="C8" s="1">
        <v>48691.331850000002</v>
      </c>
      <c r="D8" s="7">
        <v>20.585360215981279</v>
      </c>
    </row>
    <row r="9" spans="1:4" x14ac:dyDescent="0.3">
      <c r="A9" s="1">
        <v>6</v>
      </c>
      <c r="B9" s="1">
        <v>128055.96580000001</v>
      </c>
      <c r="C9" s="1">
        <v>36432.112430000001</v>
      </c>
      <c r="D9" s="7">
        <v>-23.86326213512703</v>
      </c>
    </row>
    <row r="10" spans="1:4" x14ac:dyDescent="0.3">
      <c r="A10" s="1">
        <v>7</v>
      </c>
      <c r="B10" s="1">
        <v>120717.9326</v>
      </c>
      <c r="C10" s="1">
        <v>22651.600579999991</v>
      </c>
      <c r="D10" s="7">
        <v>-5.7303329479086234</v>
      </c>
    </row>
    <row r="11" spans="1:4" x14ac:dyDescent="0.3">
      <c r="A11" s="1">
        <v>8</v>
      </c>
      <c r="B11" s="1">
        <v>135895.6715</v>
      </c>
      <c r="C11" s="1">
        <v>33604.048309999998</v>
      </c>
      <c r="D11" s="7">
        <v>12.57289499008534</v>
      </c>
    </row>
    <row r="12" spans="1:4" x14ac:dyDescent="0.3">
      <c r="A12" s="1">
        <v>9</v>
      </c>
      <c r="B12" s="1">
        <v>119693.45759999999</v>
      </c>
      <c r="C12" s="1">
        <v>4801.9731900000043</v>
      </c>
      <c r="D12" s="7">
        <v>-11.92253860712554</v>
      </c>
    </row>
    <row r="13" spans="1:4" x14ac:dyDescent="0.3">
      <c r="A13" s="1">
        <v>10</v>
      </c>
      <c r="B13" s="1">
        <v>150657.19699999999</v>
      </c>
      <c r="C13" s="1">
        <v>44810.949329999989</v>
      </c>
      <c r="D13" s="7">
        <v>25.86919955431215</v>
      </c>
    </row>
    <row r="14" spans="1:4" x14ac:dyDescent="0.3">
      <c r="A14" s="1">
        <v>11</v>
      </c>
      <c r="B14" s="1">
        <v>175128.0729</v>
      </c>
      <c r="C14" s="1">
        <v>66522.511510000011</v>
      </c>
      <c r="D14" s="7">
        <v>16.242752677789451</v>
      </c>
    </row>
    <row r="15" spans="1:4" x14ac:dyDescent="0.3">
      <c r="A15" s="1">
        <v>12</v>
      </c>
      <c r="B15" s="1">
        <v>167905.26060000001</v>
      </c>
      <c r="C15" s="1">
        <v>56800.232929999998</v>
      </c>
      <c r="D15" s="7">
        <v>-4.1243029631944372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S10" sqref="S10"/>
    </sheetView>
  </sheetViews>
  <sheetFormatPr baseColWidth="10" defaultColWidth="9.140625" defaultRowHeight="17.25" x14ac:dyDescent="0.3"/>
  <cols>
    <col min="1" max="1" width="10.28515625" style="1" customWidth="1"/>
    <col min="2" max="2" width="16.140625" style="1" customWidth="1"/>
    <col min="3" max="16384" width="9.140625" style="1"/>
  </cols>
  <sheetData>
    <row r="1" spans="1:3" ht="36" x14ac:dyDescent="0.3">
      <c r="A1" s="9" t="s">
        <v>26</v>
      </c>
      <c r="B1" s="3"/>
      <c r="C1" s="5"/>
    </row>
    <row r="3" spans="1:3" ht="22.5" customHeight="1" x14ac:dyDescent="0.3">
      <c r="A3" s="2" t="s">
        <v>15</v>
      </c>
      <c r="B3" s="2" t="s">
        <v>16</v>
      </c>
    </row>
    <row r="4" spans="1:3" x14ac:dyDescent="0.3">
      <c r="A4" s="1" t="s">
        <v>17</v>
      </c>
      <c r="B4" s="1">
        <v>249819.63639999999</v>
      </c>
    </row>
    <row r="5" spans="1:3" x14ac:dyDescent="0.3">
      <c r="A5" s="1" t="s">
        <v>18</v>
      </c>
      <c r="B5" s="1">
        <v>232245.9601</v>
      </c>
    </row>
    <row r="6" spans="1:3" x14ac:dyDescent="0.3">
      <c r="A6" s="1" t="s">
        <v>19</v>
      </c>
      <c r="B6" s="1">
        <v>229470.36</v>
      </c>
    </row>
    <row r="7" spans="1:3" x14ac:dyDescent="0.3">
      <c r="A7" s="1" t="s">
        <v>20</v>
      </c>
      <c r="B7" s="1">
        <v>228447.17370000001</v>
      </c>
    </row>
    <row r="8" spans="1:3" x14ac:dyDescent="0.3">
      <c r="A8" s="1" t="s">
        <v>21</v>
      </c>
      <c r="B8" s="1">
        <v>226194.2629</v>
      </c>
    </row>
    <row r="9" spans="1:3" x14ac:dyDescent="0.3">
      <c r="A9" s="1" t="s">
        <v>22</v>
      </c>
      <c r="B9" s="1">
        <v>202633.2372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P&amp;L_Consolide</vt:lpstr>
      <vt:lpstr>P&amp;L_Annuel</vt:lpstr>
      <vt:lpstr>Saisonnalite</vt:lpstr>
      <vt:lpstr>Par_Dept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Ingrid Alou</cp:lastModifiedBy>
  <dcterms:created xsi:type="dcterms:W3CDTF">2026-09-30T01:25:54Z</dcterms:created>
  <dcterms:modified xsi:type="dcterms:W3CDTF">2026-09-30T01:59:25Z</dcterms:modified>
</cp:coreProperties>
</file>